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27"/>
  <workbookPr filterPrivacy="1" codeName="ThisWorkbook"/>
  <xr:revisionPtr revIDLastSave="0" documentId="13_ncr:1_{443A09F0-E9F8-F745-967E-695C0F4F8E7B}" xr6:coauthVersionLast="47" xr6:coauthVersionMax="47" xr10:uidLastSave="{00000000-0000-0000-0000-000000000000}"/>
  <bookViews>
    <workbookView xWindow="3400" yWindow="2480" windowWidth="29660" windowHeight="17680" xr2:uid="{00000000-000D-0000-FFFF-FFFF00000000}"/>
  </bookViews>
  <sheets>
    <sheet name="ProjectSchedule" sheetId="11" r:id="rId1"/>
    <sheet name="About" sheetId="12" r:id="rId2"/>
  </sheets>
  <definedNames>
    <definedName name="Display_Week">ProjectSchedule!$E$4</definedName>
    <definedName name="_xlnm.Print_Titles" localSheetId="0">ProjectSchedule!$4:$6</definedName>
    <definedName name="Project_Start">ProjectSchedule!$E$3</definedName>
    <definedName name="task_end" localSheetId="0">ProjectSchedule!$F1</definedName>
    <definedName name="task_progress" localSheetId="0">ProjectSchedule!$D1</definedName>
    <definedName name="task_start" localSheetId="0">ProjectSchedule!$E1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11" l="1"/>
  <c r="F18" i="11"/>
  <c r="E16" i="11"/>
  <c r="E18" i="11" s="1"/>
  <c r="H7" i="11"/>
  <c r="E3" i="11" l="1"/>
  <c r="E9" i="11" l="1"/>
  <c r="E21" i="11" s="1"/>
  <c r="F21" i="11" s="1"/>
  <c r="E22" i="11" s="1"/>
  <c r="F22" i="11" s="1"/>
  <c r="H22" i="11" s="1"/>
  <c r="E10" i="11"/>
  <c r="F10" i="11" s="1"/>
  <c r="E12" i="11"/>
  <c r="F12" i="11" s="1"/>
  <c r="E13" i="11"/>
  <c r="F13" i="11" s="1"/>
  <c r="E11" i="11"/>
  <c r="F11" i="11" s="1"/>
  <c r="I5" i="11"/>
  <c r="H33" i="11"/>
  <c r="H32" i="11"/>
  <c r="H31" i="11"/>
  <c r="H30" i="11"/>
  <c r="H29" i="11"/>
  <c r="H28" i="11"/>
  <c r="H26" i="11"/>
  <c r="H20" i="11"/>
  <c r="H14" i="11"/>
  <c r="H8" i="11"/>
  <c r="H21" i="11" l="1"/>
  <c r="F9" i="11"/>
  <c r="H9" i="11" s="1"/>
  <c r="E23" i="11"/>
  <c r="F23" i="11" s="1"/>
  <c r="E15" i="11"/>
  <c r="E17" i="11" s="1"/>
  <c r="E19" i="11" l="1"/>
  <c r="F19" i="11" s="1"/>
  <c r="F17" i="11"/>
  <c r="E25" i="11"/>
  <c r="F25" i="11" s="1"/>
  <c r="H25" i="11" s="1"/>
  <c r="H27" i="11"/>
  <c r="H10" i="11"/>
  <c r="E24" i="11"/>
  <c r="H23" i="11"/>
  <c r="F15" i="11"/>
  <c r="H15" i="11" s="1"/>
  <c r="H13" i="11"/>
  <c r="J5" i="11"/>
  <c r="K5" i="11" s="1"/>
  <c r="L5" i="11" s="1"/>
  <c r="I4" i="11"/>
  <c r="M5" i="11" l="1"/>
  <c r="F24" i="11"/>
  <c r="H24" i="11" s="1"/>
  <c r="H16" i="11"/>
  <c r="H11" i="11"/>
  <c r="H12" i="11"/>
  <c r="N5" i="11" l="1"/>
  <c r="O5" i="11" s="1"/>
  <c r="P5" i="11" s="1"/>
  <c r="Q5" i="11" s="1"/>
  <c r="R5" i="11" s="1"/>
  <c r="S5" i="11" s="1"/>
  <c r="T5" i="11" s="1"/>
  <c r="U5" i="11" s="1"/>
  <c r="V5" i="11" s="1"/>
  <c r="W5" i="11" s="1"/>
  <c r="X5" i="11" s="1"/>
  <c r="Y5" i="11" s="1"/>
  <c r="Z5" i="11" s="1"/>
  <c r="AA5" i="11" s="1"/>
  <c r="AB5" i="11" s="1"/>
  <c r="AC5" i="11" s="1"/>
  <c r="AD5" i="11" s="1"/>
  <c r="P4" i="11"/>
  <c r="H19" i="11"/>
  <c r="H18" i="11"/>
  <c r="H17" i="11"/>
  <c r="W4" i="11" l="1"/>
  <c r="AE5" i="11"/>
  <c r="AF5" i="11" s="1"/>
  <c r="AG5" i="11" s="1"/>
  <c r="AH5" i="11" s="1"/>
  <c r="AI5" i="11" s="1"/>
  <c r="AJ5" i="11" s="1"/>
  <c r="AD4" i="11"/>
  <c r="AK5" i="11" l="1"/>
  <c r="AL5" i="11" s="1"/>
  <c r="AM5" i="11" s="1"/>
  <c r="AN5" i="11" s="1"/>
  <c r="AO5" i="11" s="1"/>
  <c r="AP5" i="11" s="1"/>
  <c r="AQ5" i="11" s="1"/>
  <c r="AR5" i="11" l="1"/>
  <c r="AS5" i="11" s="1"/>
  <c r="AK4" i="11"/>
  <c r="AT5" i="11" l="1"/>
  <c r="AR4" i="11"/>
  <c r="AU5" i="11" l="1"/>
  <c r="AV5" i="11" l="1"/>
  <c r="AW5" i="11" l="1"/>
  <c r="AX5" i="11" l="1"/>
  <c r="AY5" i="11" s="1"/>
  <c r="AZ5" i="11" l="1"/>
  <c r="AY4" i="11"/>
  <c r="BA5" i="11" l="1"/>
  <c r="BB5" i="11" l="1"/>
  <c r="BC5" i="11" l="1"/>
  <c r="BD5" i="11" l="1"/>
  <c r="BE5" i="11" l="1"/>
  <c r="BF5" i="11" l="1"/>
  <c r="BF4" i="11" s="1"/>
  <c r="BG5" i="11" l="1"/>
  <c r="BH5" i="11" l="1"/>
  <c r="BI5" i="11" l="1"/>
  <c r="BJ5" i="11" l="1"/>
  <c r="BK5" i="11" l="1"/>
  <c r="BL5" i="11" l="1"/>
  <c r="BM5" i="11" s="1"/>
  <c r="BN5" i="11" l="1"/>
  <c r="BM4" i="11"/>
  <c r="BO5" i="11" l="1"/>
  <c r="BP5" i="11" l="1"/>
  <c r="BQ5" i="11" l="1"/>
  <c r="BR5" i="11" l="1"/>
  <c r="BS5" i="11" l="1"/>
  <c r="BT5" i="11" l="1"/>
  <c r="BU5" i="11" l="1"/>
  <c r="BT4" i="11"/>
  <c r="BV5" i="11" l="1"/>
  <c r="BW5" i="11" l="1"/>
  <c r="BX5" i="11" l="1"/>
  <c r="BY5" i="11" l="1"/>
  <c r="BZ5" i="11" l="1"/>
  <c r="CA5" i="11" l="1"/>
  <c r="CB5" i="11" l="1"/>
  <c r="CA4" i="11"/>
  <c r="CC5" i="11" l="1"/>
  <c r="CD5" i="11" l="1"/>
  <c r="CE5" i="11" l="1"/>
  <c r="CF5" i="11" l="1"/>
  <c r="CG5" i="11" l="1"/>
  <c r="CH5" i="11" l="1"/>
  <c r="CI5" i="11" l="1"/>
  <c r="CH4" i="11"/>
  <c r="CJ5" i="11" l="1"/>
  <c r="CK5" i="11" l="1"/>
  <c r="CL5" i="11" l="1"/>
  <c r="CM5" i="11" l="1"/>
  <c r="CN5" i="11" l="1"/>
  <c r="CO5" i="11" l="1"/>
  <c r="CP5" i="11" l="1"/>
  <c r="CO4" i="11"/>
  <c r="CQ5" i="11" l="1"/>
  <c r="CR5" i="11" l="1"/>
  <c r="CS5" i="11" l="1"/>
  <c r="CT5" i="11" l="1"/>
  <c r="CU5" i="11" l="1"/>
</calcChain>
</file>

<file path=xl/sharedStrings.xml><?xml version="1.0" encoding="utf-8"?>
<sst xmlns="http://schemas.openxmlformats.org/spreadsheetml/2006/main" count="167" uniqueCount="58">
  <si>
    <t>Create a Project Schedule in this worksheet.
Enter title of this project in cell B1. 
Information about how to use this worksheet, including instructions for screen readers and the author of this workbook is in the About worksheet.
Continue navigating down column A to hear further instructions.</t>
  </si>
  <si>
    <t>AUDIO BOARD (HS25)</t>
  </si>
  <si>
    <t>Enter Company Name in cell B2.</t>
  </si>
  <si>
    <t>GROUP</t>
  </si>
  <si>
    <t>Enter the name of the Project Lead in cell B3. Enter the Project Start date in cell E3. Pooject Start: label is in cell C3.</t>
  </si>
  <si>
    <t>Project Start:</t>
  </si>
  <si>
    <t>The Display Week in cell E4  represents the starting week to display in the project schedule in cell I4. The project start date is considered Week 1. To change the display week, simply enter a new week number in cell E4.
The starting date for each week, starting with the display week from cell E4, starts in cell I4 and is auto calculated. There are 8 weeks represented in this view from cell I4 through cell BF4.
You should not modify these cells.
Display Week: label is in cell C4.</t>
  </si>
  <si>
    <t>Display Week:</t>
  </si>
  <si>
    <t>Cells I5 through BL5 contain the day number for the week represented in the cell block above each date cell and are auto calculated.
You should not modify these cells.
Today's date is outlined in Red (hex #AD3815) from today's date in row 5 through the entire date column to the end of the project schedule.</t>
  </si>
  <si>
    <t>This row contains headers for the project schedule that follows below them. 
Navigate from B6 through BL 6 to hear the content. The first letter of each day of the week for the date above that heading, starts in cell I6 and continues through cell BL6.
All project timeline charting is auto generated based on the start and end dates entered, using conditional formats.
Do not modify content in cells within columns after column I starting with cell I7.</t>
  </si>
  <si>
    <t>TASK</t>
  </si>
  <si>
    <t>ASSIGNED
TO</t>
  </si>
  <si>
    <t>PROGRESS</t>
  </si>
  <si>
    <t>START</t>
  </si>
  <si>
    <t>END</t>
  </si>
  <si>
    <t>DAYS</t>
  </si>
  <si>
    <t>M</t>
  </si>
  <si>
    <t>T</t>
  </si>
  <si>
    <t>W</t>
  </si>
  <si>
    <t>F</t>
  </si>
  <si>
    <t>S</t>
  </si>
  <si>
    <t xml:space="preserve">Do not delete this row. This row is hidden to preserve a formula that is used to highlight the curren day within the project schedule. </t>
  </si>
  <si>
    <t>Cell B8 contains the Phase 1 sample title. 
Enter a new Title in cell B8.
Enter a name to assign the phase to, if it applies for your project, in cell C8.
Enter Progress for the entire phase, if it applies for your project, in cell D8.
Enter the start and end dates for the entire phase, if it applies for your project, in cells E8 and F8. 
The Gantt chart will automatically fill in the appropriate dates and shade according to the progress entered.
To delete the phase and work only from tasks, simply delete this row.</t>
  </si>
  <si>
    <t>Phase 1 Title</t>
  </si>
  <si>
    <t xml:space="preserve">Cell B9 contains the sample task "Task 1." 
Enter a new task name in cell B9.
Enter a person to assign the task to in cell C9.
Enter progres of the task in cell D9. A progress bar appears in the cell and is shaded according to the number in the cell. For example, 50 percent progress would shade half of the cell.
Enter task start date in cell E9.
Enter task end date in cell F9.
A status bar shaded for the dates entered appears in blocks starting from cell I9 through BL9. </t>
  </si>
  <si>
    <t>Time planned</t>
  </si>
  <si>
    <t>Name</t>
  </si>
  <si>
    <t>Rows 10 through 13 repeat the pattern from row 9. 
Repeat the instructions from cell A9 for all task rows in this worksheet. Overwrite any sample data.
A sample of another phase starts in cell A14. 
Continue entering tasks in cells A10 through A13 or go to cell A14 to learn more.</t>
  </si>
  <si>
    <t>Time used</t>
  </si>
  <si>
    <t>Task 3</t>
  </si>
  <si>
    <t>Task 4</t>
  </si>
  <si>
    <t>Task 5</t>
  </si>
  <si>
    <t>The cell at right contains the Phase 2 sample title. 
You can create a new phase at any time within column B. This project schedule does not require phases. To remove the phase, simply delete the row.
To create a new phase block in this row, enter a new Title in cell at right.
To continue adding tasks to the phase above, enter a new row above this one and fill in the task data as in cell A9's instruction.
Update the Phase details in cell at right based on cell A8's instruction.
Continue navigating down column A cells to learn more.
If you haven't added any new rows in this worksheet, you will find 2 additional sample phase blocks have been created for you in cells B20 and B26. Otherwise, navigate through column A cells to find the additional blocks. 
Repeat the instructions from cells A8 and A9 whenever you need to.</t>
  </si>
  <si>
    <t>Phase 2 Title</t>
  </si>
  <si>
    <t>Task 1</t>
  </si>
  <si>
    <t>Task 2</t>
  </si>
  <si>
    <t>Sample phase title block</t>
  </si>
  <si>
    <t>Phase 3 Title</t>
  </si>
  <si>
    <t>Phase 4 Title</t>
  </si>
  <si>
    <t>date</t>
  </si>
  <si>
    <t>This is an empty row</t>
  </si>
  <si>
    <t>This row marks the end of the Project Schedule. DO NOT enter anything in this row. 
Insert new rows ABOVE this one to continue building out your Project Schedule.</t>
  </si>
  <si>
    <t>Insert new rows ABOVE this one</t>
  </si>
  <si>
    <t>SIMPLE GANTT CHART by Vertex42.com</t>
  </si>
  <si>
    <t>https://www.vertex42.com/ExcelTemplates/simple-gantt-chart.html</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</si>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</sst>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_(* #,##0.00_);_(* \(#,##0.00\);_(* &quot;-&quot;??_);_(@_)"/>
    <numFmt numFmtId="165" formatCode="m/d/yy;@"/>
    <numFmt numFmtId="166" formatCode="ddd\,\ m/d/yyyy"/>
    <numFmt numFmtId="167" formatCode="mmm\ d\,\ yyyy"/>
    <numFmt numFmtId="168" formatCode="d"/>
    <numFmt numFmtId="169" formatCode="yyyy\-mm\-dd;@"/>
  </numFmts>
  <fonts count="23">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s>
  <fills count="14">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s>
  <borders count="1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s>
  <cellStyleXfs count="13">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22" fillId="0" borderId="0"/>
    <xf numFmtId="164"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6"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cellStyleXfs>
  <cellXfs count="92">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168" fontId="11" fillId="7" borderId="0" xfId="0" applyNumberFormat="1" applyFont="1" applyFill="1" applyAlignment="1">
      <alignment horizontal="center" vertical="center"/>
    </xf>
    <xf numFmtId="168" fontId="11" fillId="7" borderId="6" xfId="0" applyNumberFormat="1" applyFont="1" applyFill="1" applyBorder="1" applyAlignment="1">
      <alignment horizontal="center" vertical="center"/>
    </xf>
    <xf numFmtId="168" fontId="11" fillId="7" borderId="7" xfId="0" applyNumberFormat="1" applyFont="1" applyFill="1" applyBorder="1" applyAlignment="1">
      <alignment horizontal="center" vertical="center"/>
    </xf>
    <xf numFmtId="0" fontId="12" fillId="12"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165" fontId="0" fillId="5" borderId="2" xfId="0" applyNumberFormat="1" applyFill="1" applyBorder="1" applyAlignment="1">
      <alignment horizontal="center" vertical="center"/>
    </xf>
    <xf numFmtId="165" fontId="5" fillId="5" borderId="2" xfId="0" applyNumberFormat="1" applyFont="1" applyFill="1" applyBorder="1" applyAlignment="1">
      <alignment horizontal="center" vertical="center"/>
    </xf>
    <xf numFmtId="9" fontId="5" fillId="10"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2" fillId="0" borderId="0" xfId="0" applyFont="1" applyAlignment="1">
      <alignment vertical="top"/>
    </xf>
    <xf numFmtId="0" fontId="16" fillId="0" borderId="0" xfId="0" applyFont="1" applyAlignment="1">
      <alignment horizontal="left" vertical="center"/>
    </xf>
    <xf numFmtId="0" fontId="17" fillId="0" borderId="0" xfId="0" applyFont="1" applyAlignment="1">
      <alignment horizontal="left" vertical="center"/>
    </xf>
    <xf numFmtId="0" fontId="19" fillId="0" borderId="0" xfId="0" applyFont="1"/>
    <xf numFmtId="0" fontId="21" fillId="0" borderId="0" xfId="0" applyFont="1" applyAlignment="1">
      <alignment vertical="center"/>
    </xf>
    <xf numFmtId="0" fontId="20" fillId="0" borderId="0" xfId="0" applyFont="1" applyAlignment="1">
      <alignment horizontal="left" vertical="top" wrapText="1" indent="1"/>
    </xf>
    <xf numFmtId="0" fontId="2" fillId="0" borderId="0" xfId="0" applyFont="1" applyAlignment="1">
      <alignment horizontal="left" vertical="top"/>
    </xf>
    <xf numFmtId="0" fontId="18"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22" fillId="0" borderId="0" xfId="3"/>
    <xf numFmtId="0" fontId="22" fillId="0" borderId="0" xfId="3" applyAlignment="1">
      <alignment wrapText="1"/>
    </xf>
    <xf numFmtId="0" fontId="22" fillId="0" borderId="0" xfId="0" applyFont="1" applyAlignment="1">
      <alignment horizontal="center"/>
    </xf>
    <xf numFmtId="0" fontId="15" fillId="0" borderId="0" xfId="1" applyFont="1" applyProtection="1">
      <alignment vertical="top"/>
    </xf>
    <xf numFmtId="0" fontId="0" fillId="0" borderId="0" xfId="0" applyAlignment="1">
      <alignment wrapText="1"/>
    </xf>
    <xf numFmtId="0" fontId="13" fillId="0" borderId="0" xfId="5" applyAlignment="1">
      <alignment horizontal="left"/>
    </xf>
    <xf numFmtId="0" fontId="10" fillId="0" borderId="0" xfId="6"/>
    <xf numFmtId="0" fontId="10" fillId="0" borderId="0" xfId="7">
      <alignment vertical="top"/>
    </xf>
    <xf numFmtId="165" fontId="9" fillId="11" borderId="2" xfId="10" applyFill="1">
      <alignment horizontal="center" vertical="center"/>
    </xf>
    <xf numFmtId="165" fontId="9" fillId="10" borderId="2" xfId="10" applyFill="1">
      <alignment horizontal="center" vertical="center"/>
    </xf>
    <xf numFmtId="165" fontId="9" fillId="0" borderId="2" xfId="10">
      <alignment horizontal="center" vertical="center"/>
    </xf>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5" borderId="2" xfId="11" applyFill="1">
      <alignment horizontal="center" vertical="center"/>
    </xf>
    <xf numFmtId="0" fontId="9" fillId="10"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169" fontId="9" fillId="3" borderId="2" xfId="10" applyNumberFormat="1" applyFill="1">
      <alignment horizontal="center" vertical="center"/>
    </xf>
    <xf numFmtId="169" fontId="9" fillId="4" borderId="2" xfId="10" applyNumberFormat="1" applyFill="1">
      <alignment horizontal="center" vertical="center"/>
    </xf>
    <xf numFmtId="167" fontId="0" fillId="7" borderId="4" xfId="0" applyNumberFormat="1" applyFill="1" applyBorder="1" applyAlignment="1">
      <alignment horizontal="left" vertical="center" wrapText="1" indent="1"/>
    </xf>
    <xf numFmtId="167" fontId="0" fillId="7" borderId="1" xfId="0" applyNumberFormat="1" applyFill="1" applyBorder="1" applyAlignment="1">
      <alignment horizontal="left" vertical="center" wrapText="1" indent="1"/>
    </xf>
    <xf numFmtId="167" fontId="0" fillId="7" borderId="5" xfId="0" applyNumberFormat="1" applyFill="1" applyBorder="1" applyAlignment="1">
      <alignment horizontal="left" vertical="center" wrapText="1" indent="1"/>
    </xf>
    <xf numFmtId="0" fontId="9" fillId="0" borderId="0" xfId="8" applyAlignment="1">
      <alignment horizontal="right" indent="1"/>
    </xf>
    <xf numFmtId="0" fontId="9" fillId="0" borderId="7" xfId="8" applyBorder="1" applyAlignment="1">
      <alignment horizontal="right" indent="1"/>
    </xf>
    <xf numFmtId="166" fontId="9" fillId="0" borderId="3" xfId="9" applyAlignment="1">
      <alignment horizontal="center" vertical="center"/>
    </xf>
    <xf numFmtId="0" fontId="0" fillId="0" borderId="10" xfId="0" applyBorder="1" applyAlignment="1"/>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3">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2"/>
      <tableStyleElement type="headerRow" dxfId="11"/>
      <tableStyleElement type="totalRow" dxfId="10"/>
      <tableStyleElement type="firstColumn" dxfId="9"/>
      <tableStyleElement type="lastColumn" dxfId="8"/>
      <tableStyleElement type="firstRowStripe" dxfId="7"/>
      <tableStyleElement type="secondRowStripe" dxfId="6"/>
      <tableStyleElement type="firstColumnStripe" dxfId="5"/>
      <tableStyleElement type="secondColumnStripe"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U36"/>
  <sheetViews>
    <sheetView showGridLines="0" tabSelected="1" showRuler="0" zoomScale="90" zoomScaleNormal="90" zoomScalePageLayoutView="70" workbookViewId="0">
      <pane ySplit="6" topLeftCell="A8" activePane="bottomLeft" state="frozen"/>
      <selection pane="bottomLeft" activeCell="E15" sqref="E15"/>
    </sheetView>
  </sheetViews>
  <sheetFormatPr defaultColWidth="8.7109375" defaultRowHeight="30" customHeight="1"/>
  <cols>
    <col min="1" max="1" width="2.7109375" style="58" customWidth="1"/>
    <col min="2" max="2" width="19.85546875" customWidth="1"/>
    <col min="3" max="3" width="30.7109375" customWidth="1"/>
    <col min="4" max="4" width="10.7109375" customWidth="1"/>
    <col min="5" max="5" width="10.42578125" style="5" customWidth="1"/>
    <col min="6" max="6" width="10.42578125" customWidth="1"/>
    <col min="7" max="7" width="2.7109375" customWidth="1"/>
    <col min="8" max="8" width="6.140625" customWidth="1"/>
    <col min="9" max="99" width="2.42578125" customWidth="1"/>
  </cols>
  <sheetData>
    <row r="1" spans="1:99" ht="30" customHeight="1">
      <c r="A1" s="59" t="s">
        <v>0</v>
      </c>
      <c r="B1" s="63" t="s">
        <v>1</v>
      </c>
      <c r="C1" s="1"/>
      <c r="D1" s="2"/>
      <c r="E1" s="4"/>
      <c r="F1" s="47"/>
      <c r="H1" s="2"/>
      <c r="I1" s="14"/>
    </row>
    <row r="2" spans="1:99" ht="30" customHeight="1">
      <c r="A2" s="58" t="s">
        <v>2</v>
      </c>
      <c r="B2" s="64" t="s">
        <v>3</v>
      </c>
      <c r="I2" s="61"/>
    </row>
    <row r="3" spans="1:99" ht="30" customHeight="1">
      <c r="A3" s="58" t="s">
        <v>4</v>
      </c>
      <c r="B3" s="65"/>
      <c r="C3" s="88" t="s">
        <v>5</v>
      </c>
      <c r="D3" s="89"/>
      <c r="E3" s="90">
        <f ca="1">TODAY()</f>
        <v>45909</v>
      </c>
      <c r="F3" s="90"/>
    </row>
    <row r="4" spans="1:99" ht="30" customHeight="1">
      <c r="A4" s="59" t="s">
        <v>6</v>
      </c>
      <c r="C4" s="88" t="s">
        <v>7</v>
      </c>
      <c r="D4" s="89"/>
      <c r="E4" s="7">
        <v>1</v>
      </c>
      <c r="I4" s="85">
        <f ca="1">I5</f>
        <v>45908</v>
      </c>
      <c r="J4" s="86"/>
      <c r="K4" s="86"/>
      <c r="L4" s="86"/>
      <c r="M4" s="86"/>
      <c r="N4" s="86"/>
      <c r="O4" s="87"/>
      <c r="P4" s="85">
        <f ca="1">M5</f>
        <v>45912</v>
      </c>
      <c r="Q4" s="86"/>
      <c r="R4" s="86"/>
      <c r="S4" s="86"/>
      <c r="T4" s="86"/>
      <c r="U4" s="86"/>
      <c r="V4" s="87"/>
      <c r="W4" s="85">
        <f ca="1">W5</f>
        <v>45922</v>
      </c>
      <c r="X4" s="86"/>
      <c r="Y4" s="86"/>
      <c r="Z4" s="86"/>
      <c r="AA4" s="86"/>
      <c r="AB4" s="86"/>
      <c r="AC4" s="87"/>
      <c r="AD4" s="85">
        <f ca="1">AD5</f>
        <v>45929</v>
      </c>
      <c r="AE4" s="86"/>
      <c r="AF4" s="86"/>
      <c r="AG4" s="86"/>
      <c r="AH4" s="86"/>
      <c r="AI4" s="86"/>
      <c r="AJ4" s="87"/>
      <c r="AK4" s="85">
        <f ca="1">AK5</f>
        <v>45936</v>
      </c>
      <c r="AL4" s="86"/>
      <c r="AM4" s="86"/>
      <c r="AN4" s="86"/>
      <c r="AO4" s="86"/>
      <c r="AP4" s="86"/>
      <c r="AQ4" s="87"/>
      <c r="AR4" s="85">
        <f ca="1">AR5</f>
        <v>45943</v>
      </c>
      <c r="AS4" s="86"/>
      <c r="AT4" s="86"/>
      <c r="AU4" s="86"/>
      <c r="AV4" s="86"/>
      <c r="AW4" s="86"/>
      <c r="AX4" s="87"/>
      <c r="AY4" s="85">
        <f ca="1">AY5</f>
        <v>45950</v>
      </c>
      <c r="AZ4" s="86"/>
      <c r="BA4" s="86"/>
      <c r="BB4" s="86"/>
      <c r="BC4" s="86"/>
      <c r="BD4" s="86"/>
      <c r="BE4" s="87"/>
      <c r="BF4" s="85">
        <f ca="1">BF5</f>
        <v>45957</v>
      </c>
      <c r="BG4" s="86"/>
      <c r="BH4" s="86"/>
      <c r="BI4" s="86"/>
      <c r="BJ4" s="86"/>
      <c r="BK4" s="86"/>
      <c r="BL4" s="87"/>
      <c r="BM4" s="85">
        <f ca="1">BM5</f>
        <v>45964</v>
      </c>
      <c r="BN4" s="86"/>
      <c r="BO4" s="86"/>
      <c r="BP4" s="86"/>
      <c r="BQ4" s="86"/>
      <c r="BR4" s="86"/>
      <c r="BS4" s="87"/>
      <c r="BT4" s="85">
        <f ca="1">BT5</f>
        <v>45971</v>
      </c>
      <c r="BU4" s="86"/>
      <c r="BV4" s="86"/>
      <c r="BW4" s="86"/>
      <c r="BX4" s="86"/>
      <c r="BY4" s="86"/>
      <c r="BZ4" s="87"/>
      <c r="CA4" s="85">
        <f ca="1">CA5</f>
        <v>45978</v>
      </c>
      <c r="CB4" s="86"/>
      <c r="CC4" s="86"/>
      <c r="CD4" s="86"/>
      <c r="CE4" s="86"/>
      <c r="CF4" s="86"/>
      <c r="CG4" s="87"/>
      <c r="CH4" s="85">
        <f ca="1">CH5</f>
        <v>45985</v>
      </c>
      <c r="CI4" s="86"/>
      <c r="CJ4" s="86"/>
      <c r="CK4" s="86"/>
      <c r="CL4" s="86"/>
      <c r="CM4" s="86"/>
      <c r="CN4" s="87"/>
      <c r="CO4" s="85">
        <f ca="1">CO5</f>
        <v>45992</v>
      </c>
      <c r="CP4" s="86"/>
      <c r="CQ4" s="86"/>
      <c r="CR4" s="86"/>
      <c r="CS4" s="86"/>
      <c r="CT4" s="86"/>
      <c r="CU4" s="87"/>
    </row>
    <row r="5" spans="1:99" ht="15" customHeight="1">
      <c r="A5" s="59" t="s">
        <v>8</v>
      </c>
      <c r="B5" s="91"/>
      <c r="C5" s="91"/>
      <c r="D5" s="91"/>
      <c r="E5" s="91"/>
      <c r="F5" s="91"/>
      <c r="G5" s="91"/>
      <c r="I5" s="11">
        <f ca="1">Project_Start-WEEKDAY(Project_Start,1)+2+7*(Display_Week-1)</f>
        <v>45908</v>
      </c>
      <c r="J5" s="10">
        <f ca="1">I5+1</f>
        <v>45909</v>
      </c>
      <c r="K5" s="10">
        <f t="shared" ref="K5:AX5" ca="1" si="0">J5+1</f>
        <v>45910</v>
      </c>
      <c r="L5" s="10">
        <f t="shared" ca="1" si="0"/>
        <v>45911</v>
      </c>
      <c r="M5" s="10">
        <f t="shared" ca="1" si="0"/>
        <v>45912</v>
      </c>
      <c r="N5" s="10">
        <f t="shared" ca="1" si="0"/>
        <v>45913</v>
      </c>
      <c r="O5" s="12">
        <f t="shared" ca="1" si="0"/>
        <v>45914</v>
      </c>
      <c r="P5" s="11">
        <f ca="1">O5+1</f>
        <v>45915</v>
      </c>
      <c r="Q5" s="10">
        <f ca="1">P5+1</f>
        <v>45916</v>
      </c>
      <c r="R5" s="10">
        <f t="shared" ca="1" si="0"/>
        <v>45917</v>
      </c>
      <c r="S5" s="10">
        <f t="shared" ca="1" si="0"/>
        <v>45918</v>
      </c>
      <c r="T5" s="10">
        <f t="shared" ca="1" si="0"/>
        <v>45919</v>
      </c>
      <c r="U5" s="10">
        <f t="shared" ca="1" si="0"/>
        <v>45920</v>
      </c>
      <c r="V5" s="12">
        <f t="shared" ca="1" si="0"/>
        <v>45921</v>
      </c>
      <c r="W5" s="11">
        <f ca="1">V5+1</f>
        <v>45922</v>
      </c>
      <c r="X5" s="10">
        <f ca="1">W5+1</f>
        <v>45923</v>
      </c>
      <c r="Y5" s="10">
        <f t="shared" ca="1" si="0"/>
        <v>45924</v>
      </c>
      <c r="Z5" s="10">
        <f t="shared" ca="1" si="0"/>
        <v>45925</v>
      </c>
      <c r="AA5" s="10">
        <f t="shared" ca="1" si="0"/>
        <v>45926</v>
      </c>
      <c r="AB5" s="10">
        <f t="shared" ca="1" si="0"/>
        <v>45927</v>
      </c>
      <c r="AC5" s="12">
        <f t="shared" ca="1" si="0"/>
        <v>45928</v>
      </c>
      <c r="AD5" s="11">
        <f ca="1">AC5+1</f>
        <v>45929</v>
      </c>
      <c r="AE5" s="10">
        <f ca="1">AD5+1</f>
        <v>45930</v>
      </c>
      <c r="AF5" s="10">
        <f t="shared" ca="1" si="0"/>
        <v>45931</v>
      </c>
      <c r="AG5" s="10">
        <f t="shared" ca="1" si="0"/>
        <v>45932</v>
      </c>
      <c r="AH5" s="10">
        <f t="shared" ca="1" si="0"/>
        <v>45933</v>
      </c>
      <c r="AI5" s="10">
        <f t="shared" ca="1" si="0"/>
        <v>45934</v>
      </c>
      <c r="AJ5" s="12">
        <f t="shared" ca="1" si="0"/>
        <v>45935</v>
      </c>
      <c r="AK5" s="11">
        <f ca="1">AJ5+1</f>
        <v>45936</v>
      </c>
      <c r="AL5" s="10">
        <f ca="1">AK5+1</f>
        <v>45937</v>
      </c>
      <c r="AM5" s="10">
        <f t="shared" ca="1" si="0"/>
        <v>45938</v>
      </c>
      <c r="AN5" s="10">
        <f t="shared" ca="1" si="0"/>
        <v>45939</v>
      </c>
      <c r="AO5" s="10">
        <f t="shared" ca="1" si="0"/>
        <v>45940</v>
      </c>
      <c r="AP5" s="10">
        <f t="shared" ca="1" si="0"/>
        <v>45941</v>
      </c>
      <c r="AQ5" s="12">
        <f t="shared" ca="1" si="0"/>
        <v>45942</v>
      </c>
      <c r="AR5" s="11">
        <f ca="1">AQ5+1</f>
        <v>45943</v>
      </c>
      <c r="AS5" s="10">
        <f ca="1">AR5+1</f>
        <v>45944</v>
      </c>
      <c r="AT5" s="10">
        <f t="shared" ca="1" si="0"/>
        <v>45945</v>
      </c>
      <c r="AU5" s="10">
        <f t="shared" ca="1" si="0"/>
        <v>45946</v>
      </c>
      <c r="AV5" s="10">
        <f t="shared" ca="1" si="0"/>
        <v>45947</v>
      </c>
      <c r="AW5" s="10">
        <f t="shared" ca="1" si="0"/>
        <v>45948</v>
      </c>
      <c r="AX5" s="12">
        <f t="shared" ca="1" si="0"/>
        <v>45949</v>
      </c>
      <c r="AY5" s="11">
        <f ca="1">AX5+1</f>
        <v>45950</v>
      </c>
      <c r="AZ5" s="10">
        <f ca="1">AY5+1</f>
        <v>45951</v>
      </c>
      <c r="BA5" s="10">
        <f t="shared" ref="BA5:BE5" ca="1" si="1">AZ5+1</f>
        <v>45952</v>
      </c>
      <c r="BB5" s="10">
        <f t="shared" ca="1" si="1"/>
        <v>45953</v>
      </c>
      <c r="BC5" s="10">
        <f t="shared" ca="1" si="1"/>
        <v>45954</v>
      </c>
      <c r="BD5" s="10">
        <f t="shared" ca="1" si="1"/>
        <v>45955</v>
      </c>
      <c r="BE5" s="12">
        <f t="shared" ca="1" si="1"/>
        <v>45956</v>
      </c>
      <c r="BF5" s="11">
        <f ca="1">BE5+1</f>
        <v>45957</v>
      </c>
      <c r="BG5" s="10">
        <f ca="1">BF5+1</f>
        <v>45958</v>
      </c>
      <c r="BH5" s="10">
        <f t="shared" ref="BH5:BL5" ca="1" si="2">BG5+1</f>
        <v>45959</v>
      </c>
      <c r="BI5" s="10">
        <f t="shared" ca="1" si="2"/>
        <v>45960</v>
      </c>
      <c r="BJ5" s="10">
        <f t="shared" ca="1" si="2"/>
        <v>45961</v>
      </c>
      <c r="BK5" s="10">
        <f t="shared" ca="1" si="2"/>
        <v>45962</v>
      </c>
      <c r="BL5" s="12">
        <f t="shared" ca="1" si="2"/>
        <v>45963</v>
      </c>
      <c r="BM5" s="12">
        <f t="shared" ref="BM5" ca="1" si="3">BL5+1</f>
        <v>45964</v>
      </c>
      <c r="BN5" s="12">
        <f t="shared" ref="BN5" ca="1" si="4">BM5+1</f>
        <v>45965</v>
      </c>
      <c r="BO5" s="12">
        <f t="shared" ref="BO5" ca="1" si="5">BN5+1</f>
        <v>45966</v>
      </c>
      <c r="BP5" s="12">
        <f t="shared" ref="BP5" ca="1" si="6">BO5+1</f>
        <v>45967</v>
      </c>
      <c r="BQ5" s="12">
        <f t="shared" ref="BQ5" ca="1" si="7">BP5+1</f>
        <v>45968</v>
      </c>
      <c r="BR5" s="12">
        <f t="shared" ref="BR5" ca="1" si="8">BQ5+1</f>
        <v>45969</v>
      </c>
      <c r="BS5" s="12">
        <f t="shared" ref="BS5" ca="1" si="9">BR5+1</f>
        <v>45970</v>
      </c>
      <c r="BT5" s="12">
        <f t="shared" ref="BT5" ca="1" si="10">BS5+1</f>
        <v>45971</v>
      </c>
      <c r="BU5" s="12">
        <f t="shared" ref="BU5" ca="1" si="11">BT5+1</f>
        <v>45972</v>
      </c>
      <c r="BV5" s="12">
        <f t="shared" ref="BV5" ca="1" si="12">BU5+1</f>
        <v>45973</v>
      </c>
      <c r="BW5" s="12">
        <f t="shared" ref="BW5" ca="1" si="13">BV5+1</f>
        <v>45974</v>
      </c>
      <c r="BX5" s="12">
        <f t="shared" ref="BX5" ca="1" si="14">BW5+1</f>
        <v>45975</v>
      </c>
      <c r="BY5" s="12">
        <f t="shared" ref="BY5" ca="1" si="15">BX5+1</f>
        <v>45976</v>
      </c>
      <c r="BZ5" s="12">
        <f t="shared" ref="BZ5" ca="1" si="16">BY5+1</f>
        <v>45977</v>
      </c>
      <c r="CA5" s="12">
        <f t="shared" ref="CA5" ca="1" si="17">BZ5+1</f>
        <v>45978</v>
      </c>
      <c r="CB5" s="12">
        <f t="shared" ref="CB5" ca="1" si="18">CA5+1</f>
        <v>45979</v>
      </c>
      <c r="CC5" s="12">
        <f t="shared" ref="CC5" ca="1" si="19">CB5+1</f>
        <v>45980</v>
      </c>
      <c r="CD5" s="12">
        <f t="shared" ref="CD5" ca="1" si="20">CC5+1</f>
        <v>45981</v>
      </c>
      <c r="CE5" s="12">
        <f t="shared" ref="CE5" ca="1" si="21">CD5+1</f>
        <v>45982</v>
      </c>
      <c r="CF5" s="12">
        <f t="shared" ref="CF5" ca="1" si="22">CE5+1</f>
        <v>45983</v>
      </c>
      <c r="CG5" s="12">
        <f t="shared" ref="CG5" ca="1" si="23">CF5+1</f>
        <v>45984</v>
      </c>
      <c r="CH5" s="12">
        <f t="shared" ref="CH5" ca="1" si="24">CG5+1</f>
        <v>45985</v>
      </c>
      <c r="CI5" s="12">
        <f t="shared" ref="CI5" ca="1" si="25">CH5+1</f>
        <v>45986</v>
      </c>
      <c r="CJ5" s="12">
        <f t="shared" ref="CJ5" ca="1" si="26">CI5+1</f>
        <v>45987</v>
      </c>
      <c r="CK5" s="12">
        <f t="shared" ref="CK5" ca="1" si="27">CJ5+1</f>
        <v>45988</v>
      </c>
      <c r="CL5" s="12">
        <f t="shared" ref="CL5" ca="1" si="28">CK5+1</f>
        <v>45989</v>
      </c>
      <c r="CM5" s="12">
        <f t="shared" ref="CM5" ca="1" si="29">CL5+1</f>
        <v>45990</v>
      </c>
      <c r="CN5" s="12">
        <f t="shared" ref="CN5" ca="1" si="30">CM5+1</f>
        <v>45991</v>
      </c>
      <c r="CO5" s="12">
        <f t="shared" ref="CO5" ca="1" si="31">CN5+1</f>
        <v>45992</v>
      </c>
      <c r="CP5" s="12">
        <f t="shared" ref="CP5" ca="1" si="32">CO5+1</f>
        <v>45993</v>
      </c>
      <c r="CQ5" s="12">
        <f t="shared" ref="CQ5" ca="1" si="33">CP5+1</f>
        <v>45994</v>
      </c>
      <c r="CR5" s="12">
        <f t="shared" ref="CR5" ca="1" si="34">CQ5+1</f>
        <v>45995</v>
      </c>
      <c r="CS5" s="12">
        <f t="shared" ref="CS5" ca="1" si="35">CR5+1</f>
        <v>45996</v>
      </c>
      <c r="CT5" s="12">
        <f t="shared" ref="CT5" ca="1" si="36">CS5+1</f>
        <v>45997</v>
      </c>
      <c r="CU5" s="12">
        <f t="shared" ref="CU5" ca="1" si="37">CT5+1</f>
        <v>45998</v>
      </c>
    </row>
    <row r="6" spans="1:99" ht="30" customHeight="1" thickBot="1">
      <c r="A6" s="59" t="s">
        <v>9</v>
      </c>
      <c r="B6" s="8" t="s">
        <v>10</v>
      </c>
      <c r="C6" s="9" t="s">
        <v>11</v>
      </c>
      <c r="D6" s="9" t="s">
        <v>12</v>
      </c>
      <c r="E6" s="9" t="s">
        <v>13</v>
      </c>
      <c r="F6" s="9" t="s">
        <v>14</v>
      </c>
      <c r="G6" s="9"/>
      <c r="H6" s="9" t="s">
        <v>15</v>
      </c>
      <c r="I6" s="13" t="s">
        <v>16</v>
      </c>
      <c r="J6" s="13" t="s">
        <v>17</v>
      </c>
      <c r="K6" s="13" t="s">
        <v>18</v>
      </c>
      <c r="L6" s="13" t="s">
        <v>17</v>
      </c>
      <c r="M6" s="13" t="s">
        <v>19</v>
      </c>
      <c r="N6" s="13" t="s">
        <v>20</v>
      </c>
      <c r="O6" s="13" t="s">
        <v>20</v>
      </c>
      <c r="P6" s="13" t="s">
        <v>16</v>
      </c>
      <c r="Q6" s="13" t="s">
        <v>17</v>
      </c>
      <c r="R6" s="13" t="s">
        <v>18</v>
      </c>
      <c r="S6" s="13" t="s">
        <v>17</v>
      </c>
      <c r="T6" s="13" t="s">
        <v>19</v>
      </c>
      <c r="U6" s="13" t="s">
        <v>20</v>
      </c>
      <c r="V6" s="13" t="s">
        <v>20</v>
      </c>
      <c r="W6" s="13" t="s">
        <v>16</v>
      </c>
      <c r="X6" s="13" t="s">
        <v>17</v>
      </c>
      <c r="Y6" s="13" t="s">
        <v>18</v>
      </c>
      <c r="Z6" s="13" t="s">
        <v>17</v>
      </c>
      <c r="AA6" s="13" t="s">
        <v>19</v>
      </c>
      <c r="AB6" s="13" t="s">
        <v>20</v>
      </c>
      <c r="AC6" s="13" t="s">
        <v>20</v>
      </c>
      <c r="AD6" s="13" t="s">
        <v>16</v>
      </c>
      <c r="AE6" s="13" t="s">
        <v>17</v>
      </c>
      <c r="AF6" s="13" t="s">
        <v>18</v>
      </c>
      <c r="AG6" s="13" t="s">
        <v>17</v>
      </c>
      <c r="AH6" s="13" t="s">
        <v>19</v>
      </c>
      <c r="AI6" s="13" t="s">
        <v>20</v>
      </c>
      <c r="AJ6" s="13" t="s">
        <v>20</v>
      </c>
      <c r="AK6" s="13" t="s">
        <v>16</v>
      </c>
      <c r="AL6" s="13" t="s">
        <v>17</v>
      </c>
      <c r="AM6" s="13" t="s">
        <v>18</v>
      </c>
      <c r="AN6" s="13" t="s">
        <v>17</v>
      </c>
      <c r="AO6" s="13" t="s">
        <v>19</v>
      </c>
      <c r="AP6" s="13" t="s">
        <v>20</v>
      </c>
      <c r="AQ6" s="13" t="s">
        <v>20</v>
      </c>
      <c r="AR6" s="13" t="s">
        <v>16</v>
      </c>
      <c r="AS6" s="13" t="s">
        <v>17</v>
      </c>
      <c r="AT6" s="13" t="s">
        <v>18</v>
      </c>
      <c r="AU6" s="13" t="s">
        <v>17</v>
      </c>
      <c r="AV6" s="13" t="s">
        <v>19</v>
      </c>
      <c r="AW6" s="13" t="s">
        <v>20</v>
      </c>
      <c r="AX6" s="13" t="s">
        <v>20</v>
      </c>
      <c r="AY6" s="13" t="s">
        <v>16</v>
      </c>
      <c r="AZ6" s="13" t="s">
        <v>17</v>
      </c>
      <c r="BA6" s="13" t="s">
        <v>18</v>
      </c>
      <c r="BB6" s="13" t="s">
        <v>17</v>
      </c>
      <c r="BC6" s="13" t="s">
        <v>19</v>
      </c>
      <c r="BD6" s="13" t="s">
        <v>20</v>
      </c>
      <c r="BE6" s="13" t="s">
        <v>20</v>
      </c>
      <c r="BF6" s="13" t="s">
        <v>16</v>
      </c>
      <c r="BG6" s="13" t="s">
        <v>17</v>
      </c>
      <c r="BH6" s="13" t="s">
        <v>18</v>
      </c>
      <c r="BI6" s="13" t="s">
        <v>17</v>
      </c>
      <c r="BJ6" s="13" t="s">
        <v>19</v>
      </c>
      <c r="BK6" s="13" t="s">
        <v>20</v>
      </c>
      <c r="BL6" s="13" t="s">
        <v>20</v>
      </c>
      <c r="BM6" s="13" t="s">
        <v>16</v>
      </c>
      <c r="BN6" s="13" t="s">
        <v>17</v>
      </c>
      <c r="BO6" s="13" t="s">
        <v>18</v>
      </c>
      <c r="BP6" s="13" t="s">
        <v>17</v>
      </c>
      <c r="BQ6" s="13" t="s">
        <v>19</v>
      </c>
      <c r="BR6" s="13" t="s">
        <v>20</v>
      </c>
      <c r="BS6" s="13" t="s">
        <v>20</v>
      </c>
      <c r="BT6" s="13" t="s">
        <v>16</v>
      </c>
      <c r="BU6" s="13" t="s">
        <v>17</v>
      </c>
      <c r="BV6" s="13" t="s">
        <v>18</v>
      </c>
      <c r="BW6" s="13" t="s">
        <v>17</v>
      </c>
      <c r="BX6" s="13" t="s">
        <v>19</v>
      </c>
      <c r="BY6" s="13" t="s">
        <v>20</v>
      </c>
      <c r="BZ6" s="13" t="s">
        <v>20</v>
      </c>
      <c r="CA6" s="13" t="s">
        <v>16</v>
      </c>
      <c r="CB6" s="13" t="s">
        <v>17</v>
      </c>
      <c r="CC6" s="13" t="s">
        <v>18</v>
      </c>
      <c r="CD6" s="13" t="s">
        <v>17</v>
      </c>
      <c r="CE6" s="13" t="s">
        <v>19</v>
      </c>
      <c r="CF6" s="13" t="s">
        <v>20</v>
      </c>
      <c r="CG6" s="13" t="s">
        <v>20</v>
      </c>
      <c r="CH6" s="13" t="s">
        <v>16</v>
      </c>
      <c r="CI6" s="13" t="s">
        <v>17</v>
      </c>
      <c r="CJ6" s="13" t="s">
        <v>18</v>
      </c>
      <c r="CK6" s="13" t="s">
        <v>17</v>
      </c>
      <c r="CL6" s="13" t="s">
        <v>19</v>
      </c>
      <c r="CM6" s="13" t="s">
        <v>20</v>
      </c>
      <c r="CN6" s="13" t="s">
        <v>20</v>
      </c>
      <c r="CO6" s="13" t="s">
        <v>16</v>
      </c>
      <c r="CP6" s="13" t="s">
        <v>17</v>
      </c>
      <c r="CQ6" s="13" t="s">
        <v>18</v>
      </c>
      <c r="CR6" s="13" t="s">
        <v>17</v>
      </c>
      <c r="CS6" s="13" t="s">
        <v>19</v>
      </c>
      <c r="CT6" s="13" t="s">
        <v>20</v>
      </c>
      <c r="CU6" s="13" t="s">
        <v>20</v>
      </c>
    </row>
    <row r="7" spans="1:99" ht="30" hidden="1" customHeight="1" thickBot="1">
      <c r="A7" s="58" t="s">
        <v>21</v>
      </c>
      <c r="C7" s="62"/>
      <c r="E7"/>
      <c r="H7" t="str">
        <f ca="1">IF(OR(ISBLANK(task_start),ISBLANK(task_end)),"",task_end-task_start+1)</f>
        <v/>
      </c>
      <c r="I7" s="44"/>
      <c r="J7" s="44"/>
      <c r="K7" s="44"/>
      <c r="L7" s="44"/>
      <c r="M7" s="44"/>
      <c r="N7" s="44"/>
      <c r="O7" s="44"/>
      <c r="P7" s="44"/>
      <c r="Q7" s="44"/>
      <c r="R7" s="44"/>
      <c r="S7" s="44"/>
      <c r="T7" s="44"/>
      <c r="U7" s="44"/>
      <c r="V7" s="44"/>
      <c r="W7" s="44"/>
      <c r="X7" s="44"/>
      <c r="Y7" s="44"/>
      <c r="Z7" s="44"/>
      <c r="AA7" s="44"/>
      <c r="AB7" s="44"/>
      <c r="AC7" s="44"/>
      <c r="AD7" s="44"/>
      <c r="AE7" s="44"/>
      <c r="AF7" s="44"/>
      <c r="AG7" s="44"/>
      <c r="AH7" s="44"/>
      <c r="AI7" s="44"/>
      <c r="AJ7" s="44"/>
      <c r="AK7" s="44"/>
      <c r="AL7" s="44"/>
      <c r="AM7" s="44"/>
      <c r="AN7" s="44"/>
      <c r="AO7" s="44"/>
      <c r="AP7" s="44"/>
      <c r="AQ7" s="44"/>
      <c r="AR7" s="44"/>
      <c r="AS7" s="44"/>
      <c r="AT7" s="44"/>
      <c r="AU7" s="44"/>
      <c r="AV7" s="44"/>
      <c r="AW7" s="44"/>
      <c r="AX7" s="44"/>
      <c r="AY7" s="44"/>
      <c r="AZ7" s="44"/>
      <c r="BA7" s="44"/>
      <c r="BB7" s="44"/>
      <c r="BC7" s="44"/>
      <c r="BD7" s="44"/>
      <c r="BE7" s="44"/>
      <c r="BF7" s="44"/>
      <c r="BG7" s="44"/>
      <c r="BH7" s="44"/>
      <c r="BI7" s="44"/>
      <c r="BJ7" s="44"/>
      <c r="BK7" s="44"/>
      <c r="BL7" s="44"/>
    </row>
    <row r="8" spans="1:99" s="3" customFormat="1" ht="30" customHeight="1" thickBot="1">
      <c r="A8" s="59" t="s">
        <v>22</v>
      </c>
      <c r="B8" s="18" t="s">
        <v>23</v>
      </c>
      <c r="C8" s="69"/>
      <c r="D8" s="19"/>
      <c r="E8" s="20"/>
      <c r="F8" s="21"/>
      <c r="G8" s="17"/>
      <c r="H8" s="17" t="str">
        <f t="shared" ref="H8:H33" ca="1" si="38">IF(OR(ISBLANK(task_start),ISBLANK(task_end)),"",task_end-task_start+1)</f>
        <v/>
      </c>
      <c r="I8" s="44"/>
      <c r="J8" s="44"/>
      <c r="K8" s="44"/>
      <c r="L8" s="44"/>
      <c r="M8" s="44"/>
      <c r="N8" s="44"/>
      <c r="O8" s="44"/>
      <c r="P8" s="44"/>
      <c r="Q8" s="44"/>
      <c r="R8" s="44"/>
      <c r="S8" s="44"/>
      <c r="T8" s="44"/>
      <c r="U8" s="44"/>
      <c r="V8" s="44"/>
      <c r="W8" s="44"/>
      <c r="X8" s="44"/>
      <c r="Y8" s="44"/>
      <c r="Z8" s="44"/>
      <c r="AA8" s="44"/>
      <c r="AB8" s="44"/>
      <c r="AC8" s="44"/>
      <c r="AD8" s="44"/>
      <c r="AE8" s="44"/>
      <c r="AF8" s="44"/>
      <c r="AG8" s="44"/>
      <c r="AH8" s="44"/>
      <c r="AI8" s="44"/>
      <c r="AJ8" s="44"/>
      <c r="AK8" s="44"/>
      <c r="AL8" s="44"/>
      <c r="AM8" s="44"/>
      <c r="AN8" s="44"/>
      <c r="AO8" s="44"/>
      <c r="AP8" s="44"/>
      <c r="AQ8" s="44"/>
      <c r="AR8" s="44"/>
      <c r="AS8" s="44"/>
      <c r="AT8" s="44"/>
      <c r="AU8" s="44"/>
      <c r="AV8" s="44"/>
      <c r="AW8" s="44"/>
      <c r="AX8" s="44"/>
      <c r="AY8" s="44"/>
      <c r="AZ8" s="44"/>
      <c r="BA8" s="44"/>
      <c r="BB8" s="44"/>
      <c r="BC8" s="44"/>
      <c r="BD8" s="44"/>
      <c r="BE8" s="44"/>
      <c r="BF8" s="44"/>
      <c r="BG8" s="44"/>
      <c r="BH8" s="44"/>
      <c r="BI8" s="44"/>
      <c r="BJ8" s="44"/>
      <c r="BK8" s="44"/>
      <c r="BL8" s="44"/>
      <c r="BM8" s="44"/>
      <c r="BN8" s="44"/>
      <c r="BO8" s="44"/>
      <c r="BP8" s="44"/>
      <c r="BQ8" s="44"/>
      <c r="BR8" s="44"/>
      <c r="BS8" s="44"/>
      <c r="BT8" s="44"/>
      <c r="BU8" s="44"/>
      <c r="BV8" s="44"/>
      <c r="BW8" s="44"/>
      <c r="BX8" s="44"/>
      <c r="BY8" s="44"/>
      <c r="BZ8" s="44"/>
      <c r="CA8" s="44"/>
      <c r="CB8" s="44"/>
      <c r="CC8" s="44"/>
      <c r="CD8" s="44"/>
      <c r="CE8" s="44"/>
      <c r="CF8" s="44"/>
      <c r="CG8" s="44"/>
      <c r="CH8" s="44"/>
      <c r="CI8" s="44"/>
      <c r="CJ8" s="44"/>
      <c r="CK8" s="44"/>
      <c r="CL8" s="44"/>
      <c r="CM8" s="44"/>
      <c r="CN8" s="44"/>
      <c r="CO8" s="44"/>
      <c r="CP8" s="44"/>
      <c r="CQ8" s="44"/>
      <c r="CR8" s="44"/>
      <c r="CS8" s="44"/>
      <c r="CT8" s="44"/>
      <c r="CU8" s="44"/>
    </row>
    <row r="9" spans="1:99" s="3" customFormat="1" ht="30" customHeight="1" thickBot="1">
      <c r="A9" s="59" t="s">
        <v>24</v>
      </c>
      <c r="B9" s="78" t="s">
        <v>25</v>
      </c>
      <c r="C9" s="70" t="s">
        <v>26</v>
      </c>
      <c r="D9" s="22">
        <v>0.5</v>
      </c>
      <c r="E9" s="83">
        <f ca="1">Project_Start</f>
        <v>45909</v>
      </c>
      <c r="F9" s="83">
        <f ca="1">E9+3</f>
        <v>45912</v>
      </c>
      <c r="G9" s="17"/>
      <c r="H9" s="17">
        <f t="shared" ca="1" si="38"/>
        <v>4</v>
      </c>
      <c r="I9" s="44"/>
      <c r="J9" s="44"/>
      <c r="K9" s="44"/>
      <c r="L9" s="44"/>
      <c r="M9" s="44"/>
      <c r="N9" s="44"/>
      <c r="O9" s="44"/>
      <c r="P9" s="44"/>
      <c r="Q9" s="44"/>
      <c r="R9" s="44"/>
      <c r="S9" s="44"/>
      <c r="T9" s="44"/>
      <c r="U9" s="44"/>
      <c r="V9" s="44"/>
      <c r="W9" s="44"/>
      <c r="X9" s="44"/>
      <c r="Y9" s="44"/>
      <c r="Z9" s="44"/>
      <c r="AA9" s="44"/>
      <c r="AB9" s="44"/>
      <c r="AC9" s="44"/>
      <c r="AD9" s="44"/>
      <c r="AE9" s="44"/>
      <c r="AF9" s="44"/>
      <c r="AG9" s="44"/>
      <c r="AH9" s="44"/>
      <c r="AI9" s="44"/>
      <c r="AJ9" s="44"/>
      <c r="AK9" s="44"/>
      <c r="AL9" s="44"/>
      <c r="AM9" s="44"/>
      <c r="AN9" s="44"/>
      <c r="AO9" s="44"/>
      <c r="AP9" s="44"/>
      <c r="AQ9" s="44"/>
      <c r="AR9" s="44"/>
      <c r="AS9" s="44"/>
      <c r="AT9" s="44"/>
      <c r="AU9" s="44"/>
      <c r="AV9" s="44"/>
      <c r="AW9" s="44"/>
      <c r="AX9" s="44"/>
      <c r="AY9" s="44"/>
      <c r="AZ9" s="44"/>
      <c r="BA9" s="44"/>
      <c r="BB9" s="44"/>
      <c r="BC9" s="44"/>
      <c r="BD9" s="44"/>
      <c r="BE9" s="44"/>
      <c r="BF9" s="44"/>
      <c r="BG9" s="44"/>
      <c r="BH9" s="44"/>
      <c r="BI9" s="44"/>
      <c r="BJ9" s="44"/>
      <c r="BK9" s="44"/>
      <c r="BL9" s="44"/>
      <c r="BM9" s="44"/>
      <c r="BN9" s="44"/>
      <c r="BO9" s="44"/>
      <c r="BP9" s="44"/>
      <c r="BQ9" s="44"/>
      <c r="BR9" s="44"/>
      <c r="BS9" s="44"/>
      <c r="BT9" s="44"/>
      <c r="BU9" s="44"/>
      <c r="BV9" s="44"/>
      <c r="BW9" s="44"/>
      <c r="BX9" s="44"/>
      <c r="BY9" s="44"/>
      <c r="BZ9" s="44"/>
      <c r="CA9" s="44"/>
      <c r="CB9" s="44"/>
      <c r="CC9" s="44"/>
      <c r="CD9" s="44"/>
      <c r="CE9" s="44"/>
      <c r="CF9" s="44"/>
      <c r="CG9" s="44"/>
      <c r="CH9" s="44"/>
      <c r="CI9" s="44"/>
      <c r="CJ9" s="44"/>
      <c r="CK9" s="44"/>
      <c r="CL9" s="44"/>
      <c r="CM9" s="44"/>
      <c r="CN9" s="44"/>
      <c r="CO9" s="44"/>
      <c r="CP9" s="44"/>
      <c r="CQ9" s="44"/>
      <c r="CR9" s="44"/>
      <c r="CS9" s="44"/>
      <c r="CT9" s="44"/>
      <c r="CU9" s="44"/>
    </row>
    <row r="10" spans="1:99" s="3" customFormat="1" ht="30" customHeight="1" thickBot="1">
      <c r="A10" s="59" t="s">
        <v>27</v>
      </c>
      <c r="B10" s="78" t="s">
        <v>28</v>
      </c>
      <c r="C10" s="70"/>
      <c r="D10" s="22">
        <v>0.6</v>
      </c>
      <c r="E10" s="83">
        <f ca="1">Project_Start</f>
        <v>45909</v>
      </c>
      <c r="F10" s="83">
        <f t="shared" ref="F10:F13" ca="1" si="39">E10+3</f>
        <v>45912</v>
      </c>
      <c r="G10" s="17"/>
      <c r="H10" s="17">
        <f t="shared" ca="1" si="38"/>
        <v>4</v>
      </c>
      <c r="I10" s="44"/>
      <c r="J10" s="44"/>
      <c r="K10" s="44"/>
      <c r="L10" s="44"/>
      <c r="M10" s="44"/>
      <c r="N10" s="44"/>
      <c r="O10" s="44"/>
      <c r="P10" s="44"/>
      <c r="Q10" s="44"/>
      <c r="R10" s="44"/>
      <c r="S10" s="44"/>
      <c r="T10" s="44"/>
      <c r="U10" s="45"/>
      <c r="V10" s="45"/>
      <c r="W10" s="44"/>
      <c r="X10" s="44"/>
      <c r="Y10" s="44"/>
      <c r="Z10" s="44"/>
      <c r="AA10" s="44"/>
      <c r="AB10" s="44"/>
      <c r="AC10" s="44"/>
      <c r="AD10" s="44"/>
      <c r="AE10" s="44"/>
      <c r="AF10" s="44"/>
      <c r="AG10" s="44"/>
      <c r="AH10" s="44"/>
      <c r="AI10" s="44"/>
      <c r="AJ10" s="44"/>
      <c r="AK10" s="44"/>
      <c r="AL10" s="44"/>
      <c r="AM10" s="44"/>
      <c r="AN10" s="44"/>
      <c r="AO10" s="44"/>
      <c r="AP10" s="44"/>
      <c r="AQ10" s="44"/>
      <c r="AR10" s="44"/>
      <c r="AS10" s="44"/>
      <c r="AT10" s="44"/>
      <c r="AU10" s="44"/>
      <c r="AV10" s="44"/>
      <c r="AW10" s="44"/>
      <c r="AX10" s="44"/>
      <c r="AY10" s="44"/>
      <c r="AZ10" s="44"/>
      <c r="BA10" s="44"/>
      <c r="BB10" s="44"/>
      <c r="BC10" s="44"/>
      <c r="BD10" s="44"/>
      <c r="BE10" s="44"/>
      <c r="BF10" s="44"/>
      <c r="BG10" s="44"/>
      <c r="BH10" s="44"/>
      <c r="BI10" s="44"/>
      <c r="BJ10" s="44"/>
      <c r="BK10" s="44"/>
      <c r="BL10" s="44"/>
      <c r="BM10" s="44"/>
      <c r="BN10" s="44"/>
      <c r="BO10" s="44"/>
      <c r="BP10" s="44"/>
      <c r="BQ10" s="44"/>
      <c r="BR10" s="44"/>
      <c r="BS10" s="44"/>
      <c r="BT10" s="44"/>
      <c r="BU10" s="44"/>
      <c r="BV10" s="44"/>
      <c r="BW10" s="44"/>
      <c r="BX10" s="44"/>
      <c r="BY10" s="44"/>
      <c r="BZ10" s="44"/>
      <c r="CA10" s="44"/>
      <c r="CB10" s="44"/>
      <c r="CC10" s="44"/>
      <c r="CD10" s="44"/>
      <c r="CE10" s="44"/>
      <c r="CF10" s="44"/>
      <c r="CG10" s="44"/>
      <c r="CH10" s="44"/>
      <c r="CI10" s="44"/>
      <c r="CJ10" s="44"/>
      <c r="CK10" s="44"/>
      <c r="CL10" s="44"/>
      <c r="CM10" s="44"/>
      <c r="CN10" s="44"/>
      <c r="CO10" s="44"/>
      <c r="CP10" s="44"/>
      <c r="CQ10" s="44"/>
      <c r="CR10" s="44"/>
      <c r="CS10" s="44"/>
      <c r="CT10" s="44"/>
      <c r="CU10" s="44"/>
    </row>
    <row r="11" spans="1:99" s="3" customFormat="1" ht="30" customHeight="1" thickBot="1">
      <c r="A11" s="58"/>
      <c r="B11" s="78" t="s">
        <v>29</v>
      </c>
      <c r="C11" s="70"/>
      <c r="D11" s="22">
        <v>0.5</v>
      </c>
      <c r="E11" s="83">
        <f ca="1">Project_Start</f>
        <v>45909</v>
      </c>
      <c r="F11" s="83">
        <f t="shared" ca="1" si="39"/>
        <v>45912</v>
      </c>
      <c r="G11" s="17"/>
      <c r="H11" s="17">
        <f t="shared" ca="1" si="38"/>
        <v>4</v>
      </c>
      <c r="I11" s="44"/>
      <c r="J11" s="44"/>
      <c r="K11" s="44"/>
      <c r="L11" s="44"/>
      <c r="M11" s="44"/>
      <c r="N11" s="44"/>
      <c r="O11" s="44"/>
      <c r="P11" s="44"/>
      <c r="Q11" s="44"/>
      <c r="R11" s="44"/>
      <c r="S11" s="44"/>
      <c r="T11" s="44"/>
      <c r="U11" s="44"/>
      <c r="V11" s="44"/>
      <c r="W11" s="44"/>
      <c r="X11" s="44"/>
      <c r="Y11" s="44"/>
      <c r="Z11" s="44"/>
      <c r="AA11" s="44"/>
      <c r="AB11" s="44"/>
      <c r="AC11" s="44"/>
      <c r="AD11" s="44"/>
      <c r="AE11" s="44"/>
      <c r="AF11" s="44"/>
      <c r="AG11" s="44"/>
      <c r="AH11" s="44"/>
      <c r="AI11" s="44"/>
      <c r="AJ11" s="44"/>
      <c r="AK11" s="44"/>
      <c r="AL11" s="44"/>
      <c r="AM11" s="44"/>
      <c r="AN11" s="44"/>
      <c r="AO11" s="44"/>
      <c r="AP11" s="44"/>
      <c r="AQ11" s="44"/>
      <c r="AR11" s="44"/>
      <c r="AS11" s="44"/>
      <c r="AT11" s="44"/>
      <c r="AU11" s="44"/>
      <c r="AV11" s="44"/>
      <c r="AW11" s="44"/>
      <c r="AX11" s="44"/>
      <c r="AY11" s="44"/>
      <c r="AZ11" s="44"/>
      <c r="BA11" s="44"/>
      <c r="BB11" s="44"/>
      <c r="BC11" s="44"/>
      <c r="BD11" s="44"/>
      <c r="BE11" s="44"/>
      <c r="BF11" s="44"/>
      <c r="BG11" s="44"/>
      <c r="BH11" s="44"/>
      <c r="BI11" s="44"/>
      <c r="BJ11" s="44"/>
      <c r="BK11" s="44"/>
      <c r="BL11" s="44"/>
      <c r="BM11" s="44"/>
      <c r="BN11" s="44"/>
      <c r="BO11" s="44"/>
      <c r="BP11" s="44"/>
      <c r="BQ11" s="44"/>
      <c r="BR11" s="44"/>
      <c r="BS11" s="44"/>
      <c r="BT11" s="44"/>
      <c r="BU11" s="44"/>
      <c r="BV11" s="44"/>
      <c r="BW11" s="44"/>
      <c r="BX11" s="44"/>
      <c r="BY11" s="44"/>
      <c r="BZ11" s="44"/>
      <c r="CA11" s="44"/>
      <c r="CB11" s="44"/>
      <c r="CC11" s="44"/>
      <c r="CD11" s="44"/>
      <c r="CE11" s="44"/>
      <c r="CF11" s="44"/>
      <c r="CG11" s="44"/>
      <c r="CH11" s="44"/>
      <c r="CI11" s="44"/>
      <c r="CJ11" s="44"/>
      <c r="CK11" s="44"/>
      <c r="CL11" s="44"/>
      <c r="CM11" s="44"/>
      <c r="CN11" s="44"/>
      <c r="CO11" s="44"/>
      <c r="CP11" s="44"/>
      <c r="CQ11" s="44"/>
      <c r="CR11" s="44"/>
      <c r="CS11" s="44"/>
      <c r="CT11" s="44"/>
      <c r="CU11" s="44"/>
    </row>
    <row r="12" spans="1:99" s="3" customFormat="1" ht="30" customHeight="1" thickBot="1">
      <c r="A12" s="58"/>
      <c r="B12" s="78" t="s">
        <v>30</v>
      </c>
      <c r="C12" s="70"/>
      <c r="D12" s="22">
        <v>0.25</v>
      </c>
      <c r="E12" s="83">
        <f ca="1">Project_Start</f>
        <v>45909</v>
      </c>
      <c r="F12" s="83">
        <f t="shared" ca="1" si="39"/>
        <v>45912</v>
      </c>
      <c r="G12" s="17"/>
      <c r="H12" s="17">
        <f t="shared" ca="1" si="38"/>
        <v>4</v>
      </c>
      <c r="I12" s="44"/>
      <c r="J12" s="44"/>
      <c r="K12" s="44"/>
      <c r="L12" s="44"/>
      <c r="M12" s="44"/>
      <c r="N12" s="44"/>
      <c r="O12" s="44"/>
      <c r="P12" s="44"/>
      <c r="Q12" s="44"/>
      <c r="R12" s="44"/>
      <c r="S12" s="44"/>
      <c r="T12" s="44"/>
      <c r="U12" s="44"/>
      <c r="V12" s="44"/>
      <c r="W12" s="44"/>
      <c r="X12" s="44"/>
      <c r="Y12" s="45"/>
      <c r="Z12" s="44"/>
      <c r="AA12" s="44"/>
      <c r="AB12" s="44"/>
      <c r="AC12" s="44"/>
      <c r="AD12" s="44"/>
      <c r="AE12" s="44"/>
      <c r="AF12" s="44"/>
      <c r="AG12" s="44"/>
      <c r="AH12" s="44"/>
      <c r="AI12" s="44"/>
      <c r="AJ12" s="44"/>
      <c r="AK12" s="44"/>
      <c r="AL12" s="44"/>
      <c r="AM12" s="44"/>
      <c r="AN12" s="44"/>
      <c r="AO12" s="44"/>
      <c r="AP12" s="44"/>
      <c r="AQ12" s="44"/>
      <c r="AR12" s="44"/>
      <c r="AS12" s="44"/>
      <c r="AT12" s="44"/>
      <c r="AU12" s="44"/>
      <c r="AV12" s="44"/>
      <c r="AW12" s="44"/>
      <c r="AX12" s="44"/>
      <c r="AY12" s="44"/>
      <c r="AZ12" s="44"/>
      <c r="BA12" s="44"/>
      <c r="BB12" s="44"/>
      <c r="BC12" s="44"/>
      <c r="BD12" s="44"/>
      <c r="BE12" s="44"/>
      <c r="BF12" s="44"/>
      <c r="BG12" s="44"/>
      <c r="BH12" s="44"/>
      <c r="BI12" s="44"/>
      <c r="BJ12" s="44"/>
      <c r="BK12" s="44"/>
      <c r="BL12" s="44"/>
      <c r="BM12" s="44"/>
      <c r="BN12" s="44"/>
      <c r="BO12" s="44"/>
      <c r="BP12" s="44"/>
      <c r="BQ12" s="44"/>
      <c r="BR12" s="44"/>
      <c r="BS12" s="44"/>
      <c r="BT12" s="44"/>
      <c r="BU12" s="44"/>
      <c r="BV12" s="44"/>
      <c r="BW12" s="44"/>
      <c r="BX12" s="44"/>
      <c r="BY12" s="44"/>
      <c r="BZ12" s="44"/>
      <c r="CA12" s="44"/>
      <c r="CB12" s="44"/>
      <c r="CC12" s="44"/>
      <c r="CD12" s="44"/>
      <c r="CE12" s="44"/>
      <c r="CF12" s="44"/>
      <c r="CG12" s="44"/>
      <c r="CH12" s="44"/>
      <c r="CI12" s="44"/>
      <c r="CJ12" s="44"/>
      <c r="CK12" s="44"/>
      <c r="CL12" s="44"/>
      <c r="CM12" s="44"/>
      <c r="CN12" s="44"/>
      <c r="CO12" s="44"/>
      <c r="CP12" s="44"/>
      <c r="CQ12" s="44"/>
      <c r="CR12" s="44"/>
      <c r="CS12" s="44"/>
      <c r="CT12" s="44"/>
      <c r="CU12" s="44"/>
    </row>
    <row r="13" spans="1:99" s="3" customFormat="1" ht="30" customHeight="1" thickBot="1">
      <c r="A13" s="58"/>
      <c r="B13" s="78" t="s">
        <v>31</v>
      </c>
      <c r="C13" s="70"/>
      <c r="D13" s="22"/>
      <c r="E13" s="83">
        <f ca="1">Project_Start</f>
        <v>45909</v>
      </c>
      <c r="F13" s="83">
        <f t="shared" ca="1" si="39"/>
        <v>45912</v>
      </c>
      <c r="G13" s="17"/>
      <c r="H13" s="17">
        <f t="shared" ca="1" si="38"/>
        <v>4</v>
      </c>
      <c r="I13" s="44"/>
      <c r="J13" s="44"/>
      <c r="K13" s="44"/>
      <c r="L13" s="44"/>
      <c r="M13" s="44"/>
      <c r="N13" s="44"/>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4"/>
      <c r="AY13" s="44"/>
      <c r="AZ13" s="44"/>
      <c r="BA13" s="44"/>
      <c r="BB13" s="44"/>
      <c r="BC13" s="44"/>
      <c r="BD13" s="44"/>
      <c r="BE13" s="44"/>
      <c r="BF13" s="44"/>
      <c r="BG13" s="44"/>
      <c r="BH13" s="44"/>
      <c r="BI13" s="44"/>
      <c r="BJ13" s="44"/>
      <c r="BK13" s="44"/>
      <c r="BL13" s="44"/>
      <c r="BM13" s="44"/>
      <c r="BN13" s="44"/>
      <c r="BO13" s="44"/>
      <c r="BP13" s="44"/>
      <c r="BQ13" s="44"/>
      <c r="BR13" s="44"/>
      <c r="BS13" s="44"/>
      <c r="BT13" s="44"/>
      <c r="BU13" s="44"/>
      <c r="BV13" s="44"/>
      <c r="BW13" s="44"/>
      <c r="BX13" s="44"/>
      <c r="BY13" s="44"/>
      <c r="BZ13" s="44"/>
      <c r="CA13" s="44"/>
      <c r="CB13" s="44"/>
      <c r="CC13" s="44"/>
      <c r="CD13" s="44"/>
      <c r="CE13" s="44"/>
      <c r="CF13" s="44"/>
      <c r="CG13" s="44"/>
      <c r="CH13" s="44"/>
      <c r="CI13" s="44"/>
      <c r="CJ13" s="44"/>
      <c r="CK13" s="44"/>
      <c r="CL13" s="44"/>
      <c r="CM13" s="44"/>
      <c r="CN13" s="44"/>
      <c r="CO13" s="44"/>
      <c r="CP13" s="44"/>
      <c r="CQ13" s="44"/>
      <c r="CR13" s="44"/>
      <c r="CS13" s="44"/>
      <c r="CT13" s="44"/>
      <c r="CU13" s="44"/>
    </row>
    <row r="14" spans="1:99" s="3" customFormat="1" ht="30" customHeight="1" thickBot="1">
      <c r="A14" s="59" t="s">
        <v>32</v>
      </c>
      <c r="B14" s="23" t="s">
        <v>33</v>
      </c>
      <c r="C14" s="71"/>
      <c r="D14" s="24"/>
      <c r="E14" s="25"/>
      <c r="F14" s="26"/>
      <c r="G14" s="17"/>
      <c r="H14" s="17" t="str">
        <f t="shared" ca="1" si="38"/>
        <v/>
      </c>
      <c r="I14" s="44"/>
      <c r="J14" s="44"/>
      <c r="K14" s="44"/>
      <c r="L14" s="44"/>
      <c r="M14" s="44"/>
      <c r="N14" s="44"/>
      <c r="O14" s="44"/>
      <c r="P14" s="44"/>
      <c r="Q14" s="44"/>
      <c r="R14" s="44"/>
      <c r="S14" s="44"/>
      <c r="T14" s="44"/>
      <c r="U14" s="44"/>
      <c r="V14" s="44"/>
      <c r="W14" s="44"/>
      <c r="X14" s="44"/>
      <c r="Y14" s="44"/>
      <c r="Z14" s="44"/>
      <c r="AA14" s="44"/>
      <c r="AB14" s="44"/>
      <c r="AC14" s="44"/>
      <c r="AD14" s="44"/>
      <c r="AE14" s="44"/>
      <c r="AF14" s="44"/>
      <c r="AG14" s="44"/>
      <c r="AH14" s="44"/>
      <c r="AI14" s="44"/>
      <c r="AJ14" s="44"/>
      <c r="AK14" s="44"/>
      <c r="AL14" s="44"/>
      <c r="AM14" s="44"/>
      <c r="AN14" s="44"/>
      <c r="AO14" s="44"/>
      <c r="AP14" s="44"/>
      <c r="AQ14" s="44"/>
      <c r="AR14" s="44"/>
      <c r="AS14" s="44"/>
      <c r="AT14" s="44"/>
      <c r="AU14" s="44"/>
      <c r="AV14" s="44"/>
      <c r="AW14" s="44"/>
      <c r="AX14" s="44"/>
      <c r="AY14" s="44"/>
      <c r="AZ14" s="44"/>
      <c r="BA14" s="44"/>
      <c r="BB14" s="44"/>
      <c r="BC14" s="44"/>
      <c r="BD14" s="44"/>
      <c r="BE14" s="44"/>
      <c r="BF14" s="44"/>
      <c r="BG14" s="44"/>
      <c r="BH14" s="44"/>
      <c r="BI14" s="44"/>
      <c r="BJ14" s="44"/>
      <c r="BK14" s="44"/>
      <c r="BL14" s="44"/>
      <c r="BM14" s="44"/>
      <c r="BN14" s="44"/>
      <c r="BO14" s="44"/>
      <c r="BP14" s="44"/>
      <c r="BQ14" s="44"/>
      <c r="BR14" s="44"/>
      <c r="BS14" s="44"/>
      <c r="BT14" s="44"/>
      <c r="BU14" s="44"/>
      <c r="BV14" s="44"/>
      <c r="BW14" s="44"/>
      <c r="BX14" s="44"/>
      <c r="BY14" s="44"/>
      <c r="BZ14" s="44"/>
      <c r="CA14" s="44"/>
      <c r="CB14" s="44"/>
      <c r="CC14" s="44"/>
      <c r="CD14" s="44"/>
      <c r="CE14" s="44"/>
      <c r="CF14" s="44"/>
      <c r="CG14" s="44"/>
      <c r="CH14" s="44"/>
      <c r="CI14" s="44"/>
      <c r="CJ14" s="44"/>
      <c r="CK14" s="44"/>
      <c r="CL14" s="44"/>
      <c r="CM14" s="44"/>
      <c r="CN14" s="44"/>
      <c r="CO14" s="44"/>
      <c r="CP14" s="44"/>
      <c r="CQ14" s="44"/>
      <c r="CR14" s="44"/>
      <c r="CS14" s="44"/>
      <c r="CT14" s="44"/>
      <c r="CU14" s="44"/>
    </row>
    <row r="15" spans="1:99" s="3" customFormat="1" ht="30" customHeight="1" thickBot="1">
      <c r="A15" s="59"/>
      <c r="B15" s="79" t="s">
        <v>34</v>
      </c>
      <c r="C15" s="72"/>
      <c r="D15" s="27">
        <v>0.5</v>
      </c>
      <c r="E15" s="84">
        <f ca="1">E13+1</f>
        <v>45910</v>
      </c>
      <c r="F15" s="84">
        <f ca="1">E15+4</f>
        <v>45914</v>
      </c>
      <c r="G15" s="17"/>
      <c r="H15" s="17">
        <f t="shared" ca="1" si="38"/>
        <v>5</v>
      </c>
      <c r="I15" s="44"/>
      <c r="J15" s="44"/>
      <c r="K15" s="44"/>
      <c r="L15" s="44"/>
      <c r="M15" s="44"/>
      <c r="N15" s="44"/>
      <c r="O15" s="44"/>
      <c r="P15" s="44"/>
      <c r="Q15" s="44"/>
      <c r="R15" s="44"/>
      <c r="S15" s="44"/>
      <c r="T15" s="44"/>
      <c r="U15" s="44"/>
      <c r="V15" s="44"/>
      <c r="W15" s="44"/>
      <c r="X15" s="44"/>
      <c r="Y15" s="44"/>
      <c r="Z15" s="44"/>
      <c r="AA15" s="44"/>
      <c r="AB15" s="44"/>
      <c r="AC15" s="44"/>
      <c r="AD15" s="44"/>
      <c r="AE15" s="44"/>
      <c r="AF15" s="44"/>
      <c r="AG15" s="44"/>
      <c r="AH15" s="44"/>
      <c r="AI15" s="44"/>
      <c r="AJ15" s="44"/>
      <c r="AK15" s="44"/>
      <c r="AL15" s="44"/>
      <c r="AM15" s="44"/>
      <c r="AN15" s="44"/>
      <c r="AO15" s="44"/>
      <c r="AP15" s="44"/>
      <c r="AQ15" s="44"/>
      <c r="AR15" s="44"/>
      <c r="AS15" s="44"/>
      <c r="AT15" s="44"/>
      <c r="AU15" s="44"/>
      <c r="AV15" s="44"/>
      <c r="AW15" s="44"/>
      <c r="AX15" s="44"/>
      <c r="AY15" s="44"/>
      <c r="AZ15" s="44"/>
      <c r="BA15" s="44"/>
      <c r="BB15" s="44"/>
      <c r="BC15" s="44"/>
      <c r="BD15" s="44"/>
      <c r="BE15" s="44"/>
      <c r="BF15" s="44"/>
      <c r="BG15" s="44"/>
      <c r="BH15" s="44"/>
      <c r="BI15" s="44"/>
      <c r="BJ15" s="44"/>
      <c r="BK15" s="44"/>
      <c r="BL15" s="44"/>
      <c r="BM15" s="44"/>
      <c r="BN15" s="44"/>
      <c r="BO15" s="44"/>
      <c r="BP15" s="44"/>
      <c r="BQ15" s="44"/>
      <c r="BR15" s="44"/>
      <c r="BS15" s="44"/>
      <c r="BT15" s="44"/>
      <c r="BU15" s="44"/>
      <c r="BV15" s="44"/>
      <c r="BW15" s="44"/>
      <c r="BX15" s="44"/>
      <c r="BY15" s="44"/>
      <c r="BZ15" s="44"/>
      <c r="CA15" s="44"/>
      <c r="CB15" s="44"/>
      <c r="CC15" s="44"/>
      <c r="CD15" s="44"/>
      <c r="CE15" s="44"/>
      <c r="CF15" s="44"/>
      <c r="CG15" s="44"/>
      <c r="CH15" s="44"/>
      <c r="CI15" s="44"/>
      <c r="CJ15" s="44"/>
      <c r="CK15" s="44"/>
      <c r="CL15" s="44"/>
      <c r="CM15" s="44"/>
      <c r="CN15" s="44"/>
      <c r="CO15" s="44"/>
      <c r="CP15" s="44"/>
      <c r="CQ15" s="44"/>
      <c r="CR15" s="44"/>
      <c r="CS15" s="44"/>
      <c r="CT15" s="44"/>
      <c r="CU15" s="44"/>
    </row>
    <row r="16" spans="1:99" s="3" customFormat="1" ht="30" customHeight="1" thickBot="1">
      <c r="A16" s="58"/>
      <c r="B16" s="79" t="s">
        <v>35</v>
      </c>
      <c r="C16" s="72"/>
      <c r="D16" s="27">
        <v>0.5</v>
      </c>
      <c r="E16" s="84">
        <f t="shared" ref="E16:E19" si="40">E14+1</f>
        <v>1</v>
      </c>
      <c r="F16" s="84">
        <f t="shared" ref="F16:F19" si="41">E16+4</f>
        <v>5</v>
      </c>
      <c r="G16" s="17"/>
      <c r="H16" s="17">
        <f t="shared" ca="1" si="38"/>
        <v>5</v>
      </c>
      <c r="I16" s="44"/>
      <c r="J16" s="44"/>
      <c r="K16" s="44"/>
      <c r="L16" s="44"/>
      <c r="M16" s="44"/>
      <c r="N16" s="44"/>
      <c r="O16" s="44"/>
      <c r="P16" s="44"/>
      <c r="Q16" s="44"/>
      <c r="R16" s="44"/>
      <c r="S16" s="44"/>
      <c r="T16" s="44"/>
      <c r="U16" s="45"/>
      <c r="V16" s="45"/>
      <c r="W16" s="44"/>
      <c r="X16" s="44"/>
      <c r="Y16" s="44"/>
      <c r="Z16" s="44"/>
      <c r="AA16" s="44"/>
      <c r="AB16" s="44"/>
      <c r="AC16" s="44"/>
      <c r="AD16" s="44"/>
      <c r="AE16" s="44"/>
      <c r="AF16" s="44"/>
      <c r="AG16" s="44"/>
      <c r="AH16" s="44"/>
      <c r="AI16" s="44"/>
      <c r="AJ16" s="44"/>
      <c r="AK16" s="44"/>
      <c r="AL16" s="44"/>
      <c r="AM16" s="44"/>
      <c r="AN16" s="44"/>
      <c r="AO16" s="44"/>
      <c r="AP16" s="44"/>
      <c r="AQ16" s="44"/>
      <c r="AR16" s="44"/>
      <c r="AS16" s="44"/>
      <c r="AT16" s="44"/>
      <c r="AU16" s="44"/>
      <c r="AV16" s="44"/>
      <c r="AW16" s="44"/>
      <c r="AX16" s="44"/>
      <c r="AY16" s="44"/>
      <c r="AZ16" s="44"/>
      <c r="BA16" s="44"/>
      <c r="BB16" s="44"/>
      <c r="BC16" s="44"/>
      <c r="BD16" s="44"/>
      <c r="BE16" s="44"/>
      <c r="BF16" s="44"/>
      <c r="BG16" s="44"/>
      <c r="BH16" s="44"/>
      <c r="BI16" s="44"/>
      <c r="BJ16" s="44"/>
      <c r="BK16" s="44"/>
      <c r="BL16" s="44"/>
      <c r="BM16" s="44"/>
      <c r="BN16" s="44"/>
      <c r="BO16" s="44"/>
      <c r="BP16" s="44"/>
      <c r="BQ16" s="44"/>
      <c r="BR16" s="44"/>
      <c r="BS16" s="44"/>
      <c r="BT16" s="44"/>
      <c r="BU16" s="44"/>
      <c r="BV16" s="44"/>
      <c r="BW16" s="44"/>
      <c r="BX16" s="44"/>
      <c r="BY16" s="44"/>
      <c r="BZ16" s="44"/>
      <c r="CA16" s="44"/>
      <c r="CB16" s="44"/>
      <c r="CC16" s="44"/>
      <c r="CD16" s="44"/>
      <c r="CE16" s="44"/>
      <c r="CF16" s="44"/>
      <c r="CG16" s="44"/>
      <c r="CH16" s="44"/>
      <c r="CI16" s="44"/>
      <c r="CJ16" s="44"/>
      <c r="CK16" s="44"/>
      <c r="CL16" s="44"/>
      <c r="CM16" s="44"/>
      <c r="CN16" s="44"/>
      <c r="CO16" s="44"/>
      <c r="CP16" s="44"/>
      <c r="CQ16" s="44"/>
      <c r="CR16" s="44"/>
      <c r="CS16" s="44"/>
      <c r="CT16" s="44"/>
      <c r="CU16" s="44"/>
    </row>
    <row r="17" spans="1:99" s="3" customFormat="1" ht="30" customHeight="1" thickBot="1">
      <c r="A17" s="58"/>
      <c r="B17" s="79" t="s">
        <v>29</v>
      </c>
      <c r="C17" s="72"/>
      <c r="D17" s="27"/>
      <c r="E17" s="84">
        <f t="shared" ca="1" si="40"/>
        <v>45911</v>
      </c>
      <c r="F17" s="84">
        <f t="shared" ca="1" si="41"/>
        <v>45915</v>
      </c>
      <c r="G17" s="17"/>
      <c r="H17" s="17">
        <f t="shared" ca="1" si="38"/>
        <v>5</v>
      </c>
      <c r="I17" s="44"/>
      <c r="J17" s="44"/>
      <c r="K17" s="44"/>
      <c r="L17" s="44"/>
      <c r="M17" s="44"/>
      <c r="N17" s="44"/>
      <c r="O17" s="44"/>
      <c r="P17" s="44"/>
      <c r="Q17" s="44"/>
      <c r="R17" s="44"/>
      <c r="S17" s="44"/>
      <c r="T17" s="44"/>
      <c r="U17" s="44"/>
      <c r="V17" s="44"/>
      <c r="W17" s="44"/>
      <c r="X17" s="44"/>
      <c r="Y17" s="44"/>
      <c r="Z17" s="44"/>
      <c r="AA17" s="44"/>
      <c r="AB17" s="44"/>
      <c r="AC17" s="44"/>
      <c r="AD17" s="44"/>
      <c r="AE17" s="44"/>
      <c r="AF17" s="44"/>
      <c r="AG17" s="44"/>
      <c r="AH17" s="44"/>
      <c r="AI17" s="44"/>
      <c r="AJ17" s="44"/>
      <c r="AK17" s="44"/>
      <c r="AL17" s="44"/>
      <c r="AM17" s="44"/>
      <c r="AN17" s="44"/>
      <c r="AO17" s="44"/>
      <c r="AP17" s="44"/>
      <c r="AQ17" s="44"/>
      <c r="AR17" s="44"/>
      <c r="AS17" s="44"/>
      <c r="AT17" s="44"/>
      <c r="AU17" s="44"/>
      <c r="AV17" s="44"/>
      <c r="AW17" s="44"/>
      <c r="AX17" s="44"/>
      <c r="AY17" s="44"/>
      <c r="AZ17" s="44"/>
      <c r="BA17" s="44"/>
      <c r="BB17" s="44"/>
      <c r="BC17" s="44"/>
      <c r="BD17" s="44"/>
      <c r="BE17" s="44"/>
      <c r="BF17" s="44"/>
      <c r="BG17" s="44"/>
      <c r="BH17" s="44"/>
      <c r="BI17" s="44"/>
      <c r="BJ17" s="44"/>
      <c r="BK17" s="44"/>
      <c r="BL17" s="44"/>
      <c r="BM17" s="44"/>
      <c r="BN17" s="44"/>
      <c r="BO17" s="44"/>
      <c r="BP17" s="44"/>
      <c r="BQ17" s="44"/>
      <c r="BR17" s="44"/>
      <c r="BS17" s="44"/>
      <c r="BT17" s="44"/>
      <c r="BU17" s="44"/>
      <c r="BV17" s="44"/>
      <c r="BW17" s="44"/>
      <c r="BX17" s="44"/>
      <c r="BY17" s="44"/>
      <c r="BZ17" s="44"/>
      <c r="CA17" s="44"/>
      <c r="CB17" s="44"/>
      <c r="CC17" s="44"/>
      <c r="CD17" s="44"/>
      <c r="CE17" s="44"/>
      <c r="CF17" s="44"/>
      <c r="CG17" s="44"/>
      <c r="CH17" s="44"/>
      <c r="CI17" s="44"/>
      <c r="CJ17" s="44"/>
      <c r="CK17" s="44"/>
      <c r="CL17" s="44"/>
      <c r="CM17" s="44"/>
      <c r="CN17" s="44"/>
      <c r="CO17" s="44"/>
      <c r="CP17" s="44"/>
      <c r="CQ17" s="44"/>
      <c r="CR17" s="44"/>
      <c r="CS17" s="44"/>
      <c r="CT17" s="44"/>
      <c r="CU17" s="44"/>
    </row>
    <row r="18" spans="1:99" s="3" customFormat="1" ht="30" customHeight="1" thickBot="1">
      <c r="A18" s="58"/>
      <c r="B18" s="79" t="s">
        <v>30</v>
      </c>
      <c r="C18" s="72"/>
      <c r="D18" s="27"/>
      <c r="E18" s="84">
        <f t="shared" si="40"/>
        <v>2</v>
      </c>
      <c r="F18" s="84">
        <f t="shared" si="41"/>
        <v>6</v>
      </c>
      <c r="G18" s="17"/>
      <c r="H18" s="17">
        <f t="shared" ca="1" si="38"/>
        <v>5</v>
      </c>
      <c r="I18" s="44"/>
      <c r="J18" s="44"/>
      <c r="K18" s="44"/>
      <c r="L18" s="44"/>
      <c r="M18" s="44"/>
      <c r="N18" s="44"/>
      <c r="O18" s="44"/>
      <c r="P18" s="44"/>
      <c r="Q18" s="44"/>
      <c r="R18" s="44"/>
      <c r="S18" s="44"/>
      <c r="T18" s="44"/>
      <c r="U18" s="44"/>
      <c r="V18" s="44"/>
      <c r="W18" s="44"/>
      <c r="X18" s="44"/>
      <c r="Y18" s="45"/>
      <c r="Z18" s="44"/>
      <c r="AA18" s="44"/>
      <c r="AB18" s="44"/>
      <c r="AC18" s="44"/>
      <c r="AD18" s="44"/>
      <c r="AE18" s="44"/>
      <c r="AF18" s="44"/>
      <c r="AG18" s="44"/>
      <c r="AH18" s="44"/>
      <c r="AI18" s="44"/>
      <c r="AJ18" s="44"/>
      <c r="AK18" s="44"/>
      <c r="AL18" s="44"/>
      <c r="AM18" s="44"/>
      <c r="AN18" s="44"/>
      <c r="AO18" s="44"/>
      <c r="AP18" s="44"/>
      <c r="AQ18" s="44"/>
      <c r="AR18" s="44"/>
      <c r="AS18" s="44"/>
      <c r="AT18" s="44"/>
      <c r="AU18" s="44"/>
      <c r="AV18" s="44"/>
      <c r="AW18" s="44"/>
      <c r="AX18" s="44"/>
      <c r="AY18" s="44"/>
      <c r="AZ18" s="44"/>
      <c r="BA18" s="44"/>
      <c r="BB18" s="44"/>
      <c r="BC18" s="44"/>
      <c r="BD18" s="44"/>
      <c r="BE18" s="44"/>
      <c r="BF18" s="44"/>
      <c r="BG18" s="44"/>
      <c r="BH18" s="44"/>
      <c r="BI18" s="44"/>
      <c r="BJ18" s="44"/>
      <c r="BK18" s="44"/>
      <c r="BL18" s="44"/>
      <c r="BM18" s="44"/>
      <c r="BN18" s="44"/>
      <c r="BO18" s="44"/>
      <c r="BP18" s="44"/>
      <c r="BQ18" s="44"/>
      <c r="BR18" s="44"/>
      <c r="BS18" s="44"/>
      <c r="BT18" s="44"/>
      <c r="BU18" s="44"/>
      <c r="BV18" s="44"/>
      <c r="BW18" s="44"/>
      <c r="BX18" s="44"/>
      <c r="BY18" s="44"/>
      <c r="BZ18" s="44"/>
      <c r="CA18" s="44"/>
      <c r="CB18" s="44"/>
      <c r="CC18" s="44"/>
      <c r="CD18" s="44"/>
      <c r="CE18" s="44"/>
      <c r="CF18" s="44"/>
      <c r="CG18" s="44"/>
      <c r="CH18" s="44"/>
      <c r="CI18" s="44"/>
      <c r="CJ18" s="44"/>
      <c r="CK18" s="44"/>
      <c r="CL18" s="44"/>
      <c r="CM18" s="44"/>
      <c r="CN18" s="44"/>
      <c r="CO18" s="44"/>
      <c r="CP18" s="44"/>
      <c r="CQ18" s="44"/>
      <c r="CR18" s="44"/>
      <c r="CS18" s="44"/>
      <c r="CT18" s="44"/>
      <c r="CU18" s="44"/>
    </row>
    <row r="19" spans="1:99" s="3" customFormat="1" ht="30" customHeight="1" thickBot="1">
      <c r="A19" s="58"/>
      <c r="B19" s="79" t="s">
        <v>31</v>
      </c>
      <c r="C19" s="72"/>
      <c r="D19" s="27"/>
      <c r="E19" s="84">
        <f t="shared" ca="1" si="40"/>
        <v>45912</v>
      </c>
      <c r="F19" s="84">
        <f t="shared" ca="1" si="41"/>
        <v>45916</v>
      </c>
      <c r="G19" s="17"/>
      <c r="H19" s="17">
        <f t="shared" ca="1" si="38"/>
        <v>5</v>
      </c>
      <c r="I19" s="44"/>
      <c r="J19" s="44"/>
      <c r="K19" s="44"/>
      <c r="L19" s="44"/>
      <c r="M19" s="44"/>
      <c r="N19" s="44"/>
      <c r="O19" s="44"/>
      <c r="P19" s="44"/>
      <c r="Q19" s="44"/>
      <c r="R19" s="44"/>
      <c r="S19" s="44"/>
      <c r="T19" s="44"/>
      <c r="U19" s="44"/>
      <c r="V19" s="44"/>
      <c r="W19" s="44"/>
      <c r="X19" s="44"/>
      <c r="Y19" s="44"/>
      <c r="Z19" s="44"/>
      <c r="AA19" s="44"/>
      <c r="AB19" s="44"/>
      <c r="AC19" s="44"/>
      <c r="AD19" s="44"/>
      <c r="AE19" s="44"/>
      <c r="AF19" s="44"/>
      <c r="AG19" s="44"/>
      <c r="AH19" s="44"/>
      <c r="AI19" s="44"/>
      <c r="AJ19" s="44"/>
      <c r="AK19" s="44"/>
      <c r="AL19" s="44"/>
      <c r="AM19" s="44"/>
      <c r="AN19" s="44"/>
      <c r="AO19" s="44"/>
      <c r="AP19" s="44"/>
      <c r="AQ19" s="44"/>
      <c r="AR19" s="44"/>
      <c r="AS19" s="44"/>
      <c r="AT19" s="44"/>
      <c r="AU19" s="44"/>
      <c r="AV19" s="44"/>
      <c r="AW19" s="44"/>
      <c r="AX19" s="44"/>
      <c r="AY19" s="44"/>
      <c r="AZ19" s="44"/>
      <c r="BA19" s="44"/>
      <c r="BB19" s="44"/>
      <c r="BC19" s="44"/>
      <c r="BD19" s="44"/>
      <c r="BE19" s="44"/>
      <c r="BF19" s="44"/>
      <c r="BG19" s="44"/>
      <c r="BH19" s="44"/>
      <c r="BI19" s="44"/>
      <c r="BJ19" s="44"/>
      <c r="BK19" s="44"/>
      <c r="BL19" s="44"/>
      <c r="BM19" s="44"/>
      <c r="BN19" s="44"/>
      <c r="BO19" s="44"/>
      <c r="BP19" s="44"/>
      <c r="BQ19" s="44"/>
      <c r="BR19" s="44"/>
      <c r="BS19" s="44"/>
      <c r="BT19" s="44"/>
      <c r="BU19" s="44"/>
      <c r="BV19" s="44"/>
      <c r="BW19" s="44"/>
      <c r="BX19" s="44"/>
      <c r="BY19" s="44"/>
      <c r="BZ19" s="44"/>
      <c r="CA19" s="44"/>
      <c r="CB19" s="44"/>
      <c r="CC19" s="44"/>
      <c r="CD19" s="44"/>
      <c r="CE19" s="44"/>
      <c r="CF19" s="44"/>
      <c r="CG19" s="44"/>
      <c r="CH19" s="44"/>
      <c r="CI19" s="44"/>
      <c r="CJ19" s="44"/>
      <c r="CK19" s="44"/>
      <c r="CL19" s="44"/>
      <c r="CM19" s="44"/>
      <c r="CN19" s="44"/>
      <c r="CO19" s="44"/>
      <c r="CP19" s="44"/>
      <c r="CQ19" s="44"/>
      <c r="CR19" s="44"/>
      <c r="CS19" s="44"/>
      <c r="CT19" s="44"/>
      <c r="CU19" s="44"/>
    </row>
    <row r="20" spans="1:99" s="3" customFormat="1" ht="30" customHeight="1" thickBot="1">
      <c r="A20" s="58" t="s">
        <v>36</v>
      </c>
      <c r="B20" s="28" t="s">
        <v>37</v>
      </c>
      <c r="C20" s="73"/>
      <c r="D20" s="29"/>
      <c r="E20" s="30"/>
      <c r="F20" s="31"/>
      <c r="G20" s="17"/>
      <c r="H20" s="17" t="str">
        <f t="shared" ca="1" si="38"/>
        <v/>
      </c>
      <c r="I20" s="44"/>
      <c r="J20" s="44"/>
      <c r="K20" s="44"/>
      <c r="L20" s="44"/>
      <c r="M20" s="44"/>
      <c r="N20" s="44"/>
      <c r="O20" s="44"/>
      <c r="P20" s="44"/>
      <c r="Q20" s="44"/>
      <c r="R20" s="44"/>
      <c r="S20" s="44"/>
      <c r="T20" s="44"/>
      <c r="U20" s="44"/>
      <c r="V20" s="44"/>
      <c r="W20" s="44"/>
      <c r="X20" s="44"/>
      <c r="Y20" s="44"/>
      <c r="Z20" s="44"/>
      <c r="AA20" s="44"/>
      <c r="AB20" s="44"/>
      <c r="AC20" s="44"/>
      <c r="AD20" s="44"/>
      <c r="AE20" s="44"/>
      <c r="AF20" s="44"/>
      <c r="AG20" s="44"/>
      <c r="AH20" s="44"/>
      <c r="AI20" s="44"/>
      <c r="AJ20" s="44"/>
      <c r="AK20" s="44"/>
      <c r="AL20" s="44"/>
      <c r="AM20" s="44"/>
      <c r="AN20" s="44"/>
      <c r="AO20" s="44"/>
      <c r="AP20" s="44"/>
      <c r="AQ20" s="44"/>
      <c r="AR20" s="44"/>
      <c r="AS20" s="44"/>
      <c r="AT20" s="44"/>
      <c r="AU20" s="44"/>
      <c r="AV20" s="44"/>
      <c r="AW20" s="44"/>
      <c r="AX20" s="44"/>
      <c r="AY20" s="44"/>
      <c r="AZ20" s="44"/>
      <c r="BA20" s="44"/>
      <c r="BB20" s="44"/>
      <c r="BC20" s="44"/>
      <c r="BD20" s="44"/>
      <c r="BE20" s="44"/>
      <c r="BF20" s="44"/>
      <c r="BG20" s="44"/>
      <c r="BH20" s="44"/>
      <c r="BI20" s="44"/>
      <c r="BJ20" s="44"/>
      <c r="BK20" s="44"/>
      <c r="BL20" s="44"/>
      <c r="BM20" s="44"/>
      <c r="BN20" s="44"/>
      <c r="BO20" s="44"/>
      <c r="BP20" s="44"/>
      <c r="BQ20" s="44"/>
      <c r="BR20" s="44"/>
      <c r="BS20" s="44"/>
      <c r="BT20" s="44"/>
      <c r="BU20" s="44"/>
      <c r="BV20" s="44"/>
      <c r="BW20" s="44"/>
      <c r="BX20" s="44"/>
      <c r="BY20" s="44"/>
      <c r="BZ20" s="44"/>
      <c r="CA20" s="44"/>
      <c r="CB20" s="44"/>
      <c r="CC20" s="44"/>
      <c r="CD20" s="44"/>
      <c r="CE20" s="44"/>
      <c r="CF20" s="44"/>
      <c r="CG20" s="44"/>
      <c r="CH20" s="44"/>
      <c r="CI20" s="44"/>
      <c r="CJ20" s="44"/>
      <c r="CK20" s="44"/>
      <c r="CL20" s="44"/>
      <c r="CM20" s="44"/>
      <c r="CN20" s="44"/>
      <c r="CO20" s="44"/>
      <c r="CP20" s="44"/>
      <c r="CQ20" s="44"/>
      <c r="CR20" s="44"/>
      <c r="CS20" s="44"/>
      <c r="CT20" s="44"/>
      <c r="CU20" s="44"/>
    </row>
    <row r="21" spans="1:99" s="3" customFormat="1" ht="30" customHeight="1" thickBot="1">
      <c r="A21" s="58"/>
      <c r="B21" s="80" t="s">
        <v>34</v>
      </c>
      <c r="C21" s="74"/>
      <c r="D21" s="32"/>
      <c r="E21" s="66">
        <f ca="1">E9+15</f>
        <v>45924</v>
      </c>
      <c r="F21" s="66">
        <f ca="1">E21+5</f>
        <v>45929</v>
      </c>
      <c r="G21" s="17"/>
      <c r="H21" s="17">
        <f t="shared" ca="1" si="38"/>
        <v>6</v>
      </c>
      <c r="I21" s="44"/>
      <c r="J21" s="44"/>
      <c r="K21" s="44"/>
      <c r="L21" s="44"/>
      <c r="M21" s="44"/>
      <c r="N21" s="44"/>
      <c r="O21" s="44"/>
      <c r="P21" s="44"/>
      <c r="Q21" s="44"/>
      <c r="R21" s="44"/>
      <c r="S21" s="44"/>
      <c r="T21" s="44"/>
      <c r="U21" s="44"/>
      <c r="V21" s="44"/>
      <c r="W21" s="44"/>
      <c r="X21" s="44"/>
      <c r="Y21" s="44"/>
      <c r="Z21" s="44"/>
      <c r="AA21" s="44"/>
      <c r="AB21" s="44"/>
      <c r="AC21" s="44"/>
      <c r="AD21" s="44"/>
      <c r="AE21" s="44"/>
      <c r="AF21" s="44"/>
      <c r="AG21" s="44"/>
      <c r="AH21" s="44"/>
      <c r="AI21" s="44"/>
      <c r="AJ21" s="44"/>
      <c r="AK21" s="44"/>
      <c r="AL21" s="44"/>
      <c r="AM21" s="44"/>
      <c r="AN21" s="44"/>
      <c r="AO21" s="44"/>
      <c r="AP21" s="44"/>
      <c r="AQ21" s="44"/>
      <c r="AR21" s="44"/>
      <c r="AS21" s="44"/>
      <c r="AT21" s="44"/>
      <c r="AU21" s="44"/>
      <c r="AV21" s="44"/>
      <c r="AW21" s="44"/>
      <c r="AX21" s="44"/>
      <c r="AY21" s="44"/>
      <c r="AZ21" s="44"/>
      <c r="BA21" s="44"/>
      <c r="BB21" s="44"/>
      <c r="BC21" s="44"/>
      <c r="BD21" s="44"/>
      <c r="BE21" s="44"/>
      <c r="BF21" s="44"/>
      <c r="BG21" s="44"/>
      <c r="BH21" s="44"/>
      <c r="BI21" s="44"/>
      <c r="BJ21" s="44"/>
      <c r="BK21" s="44"/>
      <c r="BL21" s="44"/>
      <c r="BM21" s="44"/>
      <c r="BN21" s="44"/>
      <c r="BO21" s="44"/>
      <c r="BP21" s="44"/>
      <c r="BQ21" s="44"/>
      <c r="BR21" s="44"/>
      <c r="BS21" s="44"/>
      <c r="BT21" s="44"/>
      <c r="BU21" s="44"/>
      <c r="BV21" s="44"/>
      <c r="BW21" s="44"/>
      <c r="BX21" s="44"/>
      <c r="BY21" s="44"/>
      <c r="BZ21" s="44"/>
      <c r="CA21" s="44"/>
      <c r="CB21" s="44"/>
      <c r="CC21" s="44"/>
      <c r="CD21" s="44"/>
      <c r="CE21" s="44"/>
      <c r="CF21" s="44"/>
      <c r="CG21" s="44"/>
      <c r="CH21" s="44"/>
      <c r="CI21" s="44"/>
      <c r="CJ21" s="44"/>
      <c r="CK21" s="44"/>
      <c r="CL21" s="44"/>
      <c r="CM21" s="44"/>
      <c r="CN21" s="44"/>
      <c r="CO21" s="44"/>
      <c r="CP21" s="44"/>
      <c r="CQ21" s="44"/>
      <c r="CR21" s="44"/>
      <c r="CS21" s="44"/>
      <c r="CT21" s="44"/>
      <c r="CU21" s="44"/>
    </row>
    <row r="22" spans="1:99" s="3" customFormat="1" ht="30" customHeight="1" thickBot="1">
      <c r="A22" s="58"/>
      <c r="B22" s="80" t="s">
        <v>35</v>
      </c>
      <c r="C22" s="74"/>
      <c r="D22" s="32"/>
      <c r="E22" s="66">
        <f ca="1">F21+1</f>
        <v>45930</v>
      </c>
      <c r="F22" s="66">
        <f ca="1">E22+4</f>
        <v>45934</v>
      </c>
      <c r="G22" s="17"/>
      <c r="H22" s="17">
        <f t="shared" ca="1" si="38"/>
        <v>5</v>
      </c>
      <c r="I22" s="44"/>
      <c r="J22" s="44"/>
      <c r="K22" s="44"/>
      <c r="L22" s="44"/>
      <c r="M22" s="44"/>
      <c r="N22" s="44"/>
      <c r="O22" s="44"/>
      <c r="P22" s="44"/>
      <c r="Q22" s="44"/>
      <c r="R22" s="44"/>
      <c r="S22" s="44"/>
      <c r="T22" s="44"/>
      <c r="U22" s="44"/>
      <c r="V22" s="44"/>
      <c r="W22" s="44"/>
      <c r="X22" s="44"/>
      <c r="Y22" s="44"/>
      <c r="Z22" s="44"/>
      <c r="AA22" s="44"/>
      <c r="AB22" s="44"/>
      <c r="AC22" s="44"/>
      <c r="AD22" s="44"/>
      <c r="AE22" s="44"/>
      <c r="AF22" s="44"/>
      <c r="AG22" s="44"/>
      <c r="AH22" s="44"/>
      <c r="AI22" s="44"/>
      <c r="AJ22" s="44"/>
      <c r="AK22" s="44"/>
      <c r="AL22" s="44"/>
      <c r="AM22" s="44"/>
      <c r="AN22" s="44"/>
      <c r="AO22" s="44"/>
      <c r="AP22" s="44"/>
      <c r="AQ22" s="44"/>
      <c r="AR22" s="44"/>
      <c r="AS22" s="44"/>
      <c r="AT22" s="44"/>
      <c r="AU22" s="44"/>
      <c r="AV22" s="44"/>
      <c r="AW22" s="44"/>
      <c r="AX22" s="44"/>
      <c r="AY22" s="44"/>
      <c r="AZ22" s="44"/>
      <c r="BA22" s="44"/>
      <c r="BB22" s="44"/>
      <c r="BC22" s="44"/>
      <c r="BD22" s="44"/>
      <c r="BE22" s="44"/>
      <c r="BF22" s="44"/>
      <c r="BG22" s="44"/>
      <c r="BH22" s="44"/>
      <c r="BI22" s="44"/>
      <c r="BJ22" s="44"/>
      <c r="BK22" s="44"/>
      <c r="BL22" s="44"/>
      <c r="BM22" s="44"/>
      <c r="BN22" s="44"/>
      <c r="BO22" s="44"/>
      <c r="BP22" s="44"/>
      <c r="BQ22" s="44"/>
      <c r="BR22" s="44"/>
      <c r="BS22" s="44"/>
      <c r="BT22" s="44"/>
      <c r="BU22" s="44"/>
      <c r="BV22" s="44"/>
      <c r="BW22" s="44"/>
      <c r="BX22" s="44"/>
      <c r="BY22" s="44"/>
      <c r="BZ22" s="44"/>
      <c r="CA22" s="44"/>
      <c r="CB22" s="44"/>
      <c r="CC22" s="44"/>
      <c r="CD22" s="44"/>
      <c r="CE22" s="44"/>
      <c r="CF22" s="44"/>
      <c r="CG22" s="44"/>
      <c r="CH22" s="44"/>
      <c r="CI22" s="44"/>
      <c r="CJ22" s="44"/>
      <c r="CK22" s="44"/>
      <c r="CL22" s="44"/>
      <c r="CM22" s="44"/>
      <c r="CN22" s="44"/>
      <c r="CO22" s="44"/>
      <c r="CP22" s="44"/>
      <c r="CQ22" s="44"/>
      <c r="CR22" s="44"/>
      <c r="CS22" s="44"/>
      <c r="CT22" s="44"/>
      <c r="CU22" s="44"/>
    </row>
    <row r="23" spans="1:99" s="3" customFormat="1" ht="30" customHeight="1" thickBot="1">
      <c r="A23" s="58"/>
      <c r="B23" s="80" t="s">
        <v>29</v>
      </c>
      <c r="C23" s="74"/>
      <c r="D23" s="32"/>
      <c r="E23" s="66">
        <f ca="1">E22+5</f>
        <v>45935</v>
      </c>
      <c r="F23" s="66">
        <f ca="1">E23+5</f>
        <v>45940</v>
      </c>
      <c r="G23" s="17"/>
      <c r="H23" s="17">
        <f t="shared" ca="1" si="38"/>
        <v>6</v>
      </c>
      <c r="I23" s="44"/>
      <c r="J23" s="44"/>
      <c r="K23" s="44"/>
      <c r="L23" s="44"/>
      <c r="M23" s="44"/>
      <c r="N23" s="44"/>
      <c r="O23" s="44"/>
      <c r="P23" s="44"/>
      <c r="Q23" s="44"/>
      <c r="R23" s="44"/>
      <c r="S23" s="44"/>
      <c r="T23" s="44"/>
      <c r="U23" s="44"/>
      <c r="V23" s="44"/>
      <c r="W23" s="44"/>
      <c r="X23" s="44"/>
      <c r="Y23" s="44"/>
      <c r="Z23" s="44"/>
      <c r="AA23" s="44"/>
      <c r="AB23" s="44"/>
      <c r="AC23" s="44"/>
      <c r="AD23" s="44"/>
      <c r="AE23" s="44"/>
      <c r="AF23" s="44"/>
      <c r="AG23" s="44"/>
      <c r="AH23" s="44"/>
      <c r="AI23" s="44"/>
      <c r="AJ23" s="44"/>
      <c r="AK23" s="44"/>
      <c r="AL23" s="44"/>
      <c r="AM23" s="44"/>
      <c r="AN23" s="44"/>
      <c r="AO23" s="44"/>
      <c r="AP23" s="44"/>
      <c r="AQ23" s="44"/>
      <c r="AR23" s="44"/>
      <c r="AS23" s="44"/>
      <c r="AT23" s="44"/>
      <c r="AU23" s="44"/>
      <c r="AV23" s="44"/>
      <c r="AW23" s="44"/>
      <c r="AX23" s="44"/>
      <c r="AY23" s="44"/>
      <c r="AZ23" s="44"/>
      <c r="BA23" s="44"/>
      <c r="BB23" s="44"/>
      <c r="BC23" s="44"/>
      <c r="BD23" s="44"/>
      <c r="BE23" s="44"/>
      <c r="BF23" s="44"/>
      <c r="BG23" s="44"/>
      <c r="BH23" s="44"/>
      <c r="BI23" s="44"/>
      <c r="BJ23" s="44"/>
      <c r="BK23" s="44"/>
      <c r="BL23" s="44"/>
      <c r="BM23" s="44"/>
      <c r="BN23" s="44"/>
      <c r="BO23" s="44"/>
      <c r="BP23" s="44"/>
      <c r="BQ23" s="44"/>
      <c r="BR23" s="44"/>
      <c r="BS23" s="44"/>
      <c r="BT23" s="44"/>
      <c r="BU23" s="44"/>
      <c r="BV23" s="44"/>
      <c r="BW23" s="44"/>
      <c r="BX23" s="44"/>
      <c r="BY23" s="44"/>
      <c r="BZ23" s="44"/>
      <c r="CA23" s="44"/>
      <c r="CB23" s="44"/>
      <c r="CC23" s="44"/>
      <c r="CD23" s="44"/>
      <c r="CE23" s="44"/>
      <c r="CF23" s="44"/>
      <c r="CG23" s="44"/>
      <c r="CH23" s="44"/>
      <c r="CI23" s="44"/>
      <c r="CJ23" s="44"/>
      <c r="CK23" s="44"/>
      <c r="CL23" s="44"/>
      <c r="CM23" s="44"/>
      <c r="CN23" s="44"/>
      <c r="CO23" s="44"/>
      <c r="CP23" s="44"/>
      <c r="CQ23" s="44"/>
      <c r="CR23" s="44"/>
      <c r="CS23" s="44"/>
      <c r="CT23" s="44"/>
      <c r="CU23" s="44"/>
    </row>
    <row r="24" spans="1:99" s="3" customFormat="1" ht="30" customHeight="1" thickBot="1">
      <c r="A24" s="58"/>
      <c r="B24" s="80" t="s">
        <v>30</v>
      </c>
      <c r="C24" s="74"/>
      <c r="D24" s="32"/>
      <c r="E24" s="66">
        <f ca="1">F23+1</f>
        <v>45941</v>
      </c>
      <c r="F24" s="66">
        <f ca="1">E24+4</f>
        <v>45945</v>
      </c>
      <c r="G24" s="17"/>
      <c r="H24" s="17">
        <f t="shared" ca="1" si="38"/>
        <v>5</v>
      </c>
      <c r="I24" s="44"/>
      <c r="J24" s="44"/>
      <c r="K24" s="44"/>
      <c r="L24" s="44"/>
      <c r="M24" s="44"/>
      <c r="N24" s="44"/>
      <c r="O24" s="44"/>
      <c r="P24" s="44"/>
      <c r="Q24" s="44"/>
      <c r="R24" s="44"/>
      <c r="S24" s="44"/>
      <c r="T24" s="44"/>
      <c r="U24" s="44"/>
      <c r="V24" s="44"/>
      <c r="W24" s="44"/>
      <c r="X24" s="44"/>
      <c r="Y24" s="44"/>
      <c r="Z24" s="44"/>
      <c r="AA24" s="44"/>
      <c r="AB24" s="44"/>
      <c r="AC24" s="44"/>
      <c r="AD24" s="44"/>
      <c r="AE24" s="44"/>
      <c r="AF24" s="44"/>
      <c r="AG24" s="44"/>
      <c r="AH24" s="44"/>
      <c r="AI24" s="44"/>
      <c r="AJ24" s="44"/>
      <c r="AK24" s="44"/>
      <c r="AL24" s="44"/>
      <c r="AM24" s="44"/>
      <c r="AN24" s="44"/>
      <c r="AO24" s="44"/>
      <c r="AP24" s="44"/>
      <c r="AQ24" s="44"/>
      <c r="AR24" s="44"/>
      <c r="AS24" s="44"/>
      <c r="AT24" s="44"/>
      <c r="AU24" s="44"/>
      <c r="AV24" s="44"/>
      <c r="AW24" s="44"/>
      <c r="AX24" s="44"/>
      <c r="AY24" s="44"/>
      <c r="AZ24" s="44"/>
      <c r="BA24" s="44"/>
      <c r="BB24" s="44"/>
      <c r="BC24" s="44"/>
      <c r="BD24" s="44"/>
      <c r="BE24" s="44"/>
      <c r="BF24" s="44"/>
      <c r="BG24" s="44"/>
      <c r="BH24" s="44"/>
      <c r="BI24" s="44"/>
      <c r="BJ24" s="44"/>
      <c r="BK24" s="44"/>
      <c r="BL24" s="44"/>
      <c r="BM24" s="44"/>
      <c r="BN24" s="44"/>
      <c r="BO24" s="44"/>
      <c r="BP24" s="44"/>
      <c r="BQ24" s="44"/>
      <c r="BR24" s="44"/>
      <c r="BS24" s="44"/>
      <c r="BT24" s="44"/>
      <c r="BU24" s="44"/>
      <c r="BV24" s="44"/>
      <c r="BW24" s="44"/>
      <c r="BX24" s="44"/>
      <c r="BY24" s="44"/>
      <c r="BZ24" s="44"/>
      <c r="CA24" s="44"/>
      <c r="CB24" s="44"/>
      <c r="CC24" s="44"/>
      <c r="CD24" s="44"/>
      <c r="CE24" s="44"/>
      <c r="CF24" s="44"/>
      <c r="CG24" s="44"/>
      <c r="CH24" s="44"/>
      <c r="CI24" s="44"/>
      <c r="CJ24" s="44"/>
      <c r="CK24" s="44"/>
      <c r="CL24" s="44"/>
      <c r="CM24" s="44"/>
      <c r="CN24" s="44"/>
      <c r="CO24" s="44"/>
      <c r="CP24" s="44"/>
      <c r="CQ24" s="44"/>
      <c r="CR24" s="44"/>
      <c r="CS24" s="44"/>
      <c r="CT24" s="44"/>
      <c r="CU24" s="44"/>
    </row>
    <row r="25" spans="1:99" s="3" customFormat="1" ht="30" customHeight="1" thickBot="1">
      <c r="A25" s="58"/>
      <c r="B25" s="80" t="s">
        <v>31</v>
      </c>
      <c r="C25" s="74"/>
      <c r="D25" s="32"/>
      <c r="E25" s="66">
        <f ca="1">E23</f>
        <v>45935</v>
      </c>
      <c r="F25" s="66">
        <f ca="1">E25+4</f>
        <v>45939</v>
      </c>
      <c r="G25" s="17"/>
      <c r="H25" s="17">
        <f t="shared" ca="1" si="38"/>
        <v>5</v>
      </c>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c r="AS25" s="44"/>
      <c r="AT25" s="44"/>
      <c r="AU25" s="44"/>
      <c r="AV25" s="44"/>
      <c r="AW25" s="44"/>
      <c r="AX25" s="44"/>
      <c r="AY25" s="44"/>
      <c r="AZ25" s="44"/>
      <c r="BA25" s="44"/>
      <c r="BB25" s="44"/>
      <c r="BC25" s="44"/>
      <c r="BD25" s="44"/>
      <c r="BE25" s="44"/>
      <c r="BF25" s="44"/>
      <c r="BG25" s="44"/>
      <c r="BH25" s="44"/>
      <c r="BI25" s="44"/>
      <c r="BJ25" s="44"/>
      <c r="BK25" s="44"/>
      <c r="BL25" s="44"/>
      <c r="BM25" s="44"/>
      <c r="BN25" s="44"/>
      <c r="BO25" s="44"/>
      <c r="BP25" s="44"/>
      <c r="BQ25" s="44"/>
      <c r="BR25" s="44"/>
      <c r="BS25" s="44"/>
      <c r="BT25" s="44"/>
      <c r="BU25" s="44"/>
      <c r="BV25" s="44"/>
      <c r="BW25" s="44"/>
      <c r="BX25" s="44"/>
      <c r="BY25" s="44"/>
      <c r="BZ25" s="44"/>
      <c r="CA25" s="44"/>
      <c r="CB25" s="44"/>
      <c r="CC25" s="44"/>
      <c r="CD25" s="44"/>
      <c r="CE25" s="44"/>
      <c r="CF25" s="44"/>
      <c r="CG25" s="44"/>
      <c r="CH25" s="44"/>
      <c r="CI25" s="44"/>
      <c r="CJ25" s="44"/>
      <c r="CK25" s="44"/>
      <c r="CL25" s="44"/>
      <c r="CM25" s="44"/>
      <c r="CN25" s="44"/>
      <c r="CO25" s="44"/>
      <c r="CP25" s="44"/>
      <c r="CQ25" s="44"/>
      <c r="CR25" s="44"/>
      <c r="CS25" s="44"/>
      <c r="CT25" s="44"/>
      <c r="CU25" s="44"/>
    </row>
    <row r="26" spans="1:99" s="3" customFormat="1" ht="30" customHeight="1" thickBot="1">
      <c r="A26" s="58" t="s">
        <v>36</v>
      </c>
      <c r="B26" s="33" t="s">
        <v>38</v>
      </c>
      <c r="C26" s="75"/>
      <c r="D26" s="34"/>
      <c r="E26" s="35"/>
      <c r="F26" s="36"/>
      <c r="G26" s="17"/>
      <c r="H26" s="17" t="str">
        <f t="shared" ca="1" si="38"/>
        <v/>
      </c>
      <c r="I26" s="44"/>
      <c r="J26" s="44"/>
      <c r="K26" s="44"/>
      <c r="L26" s="44"/>
      <c r="M26" s="44"/>
      <c r="N26" s="44"/>
      <c r="O26" s="44"/>
      <c r="P26" s="44"/>
      <c r="Q26" s="44"/>
      <c r="R26" s="44"/>
      <c r="S26" s="44"/>
      <c r="T26" s="44"/>
      <c r="U26" s="44"/>
      <c r="V26" s="44"/>
      <c r="W26" s="44"/>
      <c r="X26" s="44"/>
      <c r="Y26" s="44"/>
      <c r="Z26" s="44"/>
      <c r="AA26" s="44"/>
      <c r="AB26" s="44"/>
      <c r="AC26" s="44"/>
      <c r="AD26" s="44"/>
      <c r="AE26" s="44"/>
      <c r="AF26" s="44"/>
      <c r="AG26" s="44"/>
      <c r="AH26" s="44"/>
      <c r="AI26" s="44"/>
      <c r="AJ26" s="44"/>
      <c r="AK26" s="44"/>
      <c r="AL26" s="44"/>
      <c r="AM26" s="44"/>
      <c r="AN26" s="44"/>
      <c r="AO26" s="44"/>
      <c r="AP26" s="44"/>
      <c r="AQ26" s="44"/>
      <c r="AR26" s="44"/>
      <c r="AS26" s="44"/>
      <c r="AT26" s="44"/>
      <c r="AU26" s="44"/>
      <c r="AV26" s="44"/>
      <c r="AW26" s="44"/>
      <c r="AX26" s="44"/>
      <c r="AY26" s="44"/>
      <c r="AZ26" s="44"/>
      <c r="BA26" s="44"/>
      <c r="BB26" s="44"/>
      <c r="BC26" s="44"/>
      <c r="BD26" s="44"/>
      <c r="BE26" s="44"/>
      <c r="BF26" s="44"/>
      <c r="BG26" s="44"/>
      <c r="BH26" s="44"/>
      <c r="BI26" s="44"/>
      <c r="BJ26" s="44"/>
      <c r="BK26" s="44"/>
      <c r="BL26" s="44"/>
      <c r="BM26" s="44"/>
      <c r="BN26" s="44"/>
      <c r="BO26" s="44"/>
      <c r="BP26" s="44"/>
      <c r="BQ26" s="44"/>
      <c r="BR26" s="44"/>
      <c r="BS26" s="44"/>
      <c r="BT26" s="44"/>
      <c r="BU26" s="44"/>
      <c r="BV26" s="44"/>
      <c r="BW26" s="44"/>
      <c r="BX26" s="44"/>
      <c r="BY26" s="44"/>
      <c r="BZ26" s="44"/>
      <c r="CA26" s="44"/>
      <c r="CB26" s="44"/>
      <c r="CC26" s="44"/>
      <c r="CD26" s="44"/>
      <c r="CE26" s="44"/>
      <c r="CF26" s="44"/>
      <c r="CG26" s="44"/>
      <c r="CH26" s="44"/>
      <c r="CI26" s="44"/>
      <c r="CJ26" s="44"/>
      <c r="CK26" s="44"/>
      <c r="CL26" s="44"/>
      <c r="CM26" s="44"/>
      <c r="CN26" s="44"/>
      <c r="CO26" s="44"/>
      <c r="CP26" s="44"/>
      <c r="CQ26" s="44"/>
      <c r="CR26" s="44"/>
      <c r="CS26" s="44"/>
      <c r="CT26" s="44"/>
      <c r="CU26" s="44"/>
    </row>
    <row r="27" spans="1:99" s="3" customFormat="1" ht="30" customHeight="1" thickBot="1">
      <c r="A27" s="58"/>
      <c r="B27" s="81" t="s">
        <v>34</v>
      </c>
      <c r="C27" s="76"/>
      <c r="D27" s="37"/>
      <c r="E27" s="67" t="s">
        <v>39</v>
      </c>
      <c r="F27" s="67" t="s">
        <v>39</v>
      </c>
      <c r="G27" s="17"/>
      <c r="H27" s="17" t="e">
        <f t="shared" ca="1" si="38"/>
        <v>#VALUE!</v>
      </c>
      <c r="I27" s="44"/>
      <c r="J27" s="44"/>
      <c r="K27" s="44"/>
      <c r="L27" s="44"/>
      <c r="M27" s="44"/>
      <c r="N27" s="44"/>
      <c r="O27" s="44"/>
      <c r="P27" s="44"/>
      <c r="Q27" s="44"/>
      <c r="R27" s="44"/>
      <c r="S27" s="44"/>
      <c r="T27" s="44"/>
      <c r="U27" s="44"/>
      <c r="V27" s="44"/>
      <c r="W27" s="44"/>
      <c r="X27" s="44"/>
      <c r="Y27" s="44"/>
      <c r="Z27" s="44"/>
      <c r="AA27" s="44"/>
      <c r="AB27" s="44"/>
      <c r="AC27" s="44"/>
      <c r="AD27" s="44"/>
      <c r="AE27" s="44"/>
      <c r="AF27" s="44"/>
      <c r="AG27" s="44"/>
      <c r="AH27" s="44"/>
      <c r="AI27" s="44"/>
      <c r="AJ27" s="44"/>
      <c r="AK27" s="44"/>
      <c r="AL27" s="44"/>
      <c r="AM27" s="44"/>
      <c r="AN27" s="44"/>
      <c r="AO27" s="44"/>
      <c r="AP27" s="44"/>
      <c r="AQ27" s="44"/>
      <c r="AR27" s="44"/>
      <c r="AS27" s="44"/>
      <c r="AT27" s="44"/>
      <c r="AU27" s="44"/>
      <c r="AV27" s="44"/>
      <c r="AW27" s="44"/>
      <c r="AX27" s="44"/>
      <c r="AY27" s="44"/>
      <c r="AZ27" s="44"/>
      <c r="BA27" s="44"/>
      <c r="BB27" s="44"/>
      <c r="BC27" s="44"/>
      <c r="BD27" s="44"/>
      <c r="BE27" s="44"/>
      <c r="BF27" s="44"/>
      <c r="BG27" s="44"/>
      <c r="BH27" s="44"/>
      <c r="BI27" s="44"/>
      <c r="BJ27" s="44"/>
      <c r="BK27" s="44"/>
      <c r="BL27" s="44"/>
      <c r="BM27" s="44"/>
      <c r="BN27" s="44"/>
      <c r="BO27" s="44"/>
      <c r="BP27" s="44"/>
      <c r="BQ27" s="44"/>
      <c r="BR27" s="44"/>
      <c r="BS27" s="44"/>
      <c r="BT27" s="44"/>
      <c r="BU27" s="44"/>
      <c r="BV27" s="44"/>
      <c r="BW27" s="44"/>
      <c r="BX27" s="44"/>
      <c r="BY27" s="44"/>
      <c r="BZ27" s="44"/>
      <c r="CA27" s="44"/>
      <c r="CB27" s="44"/>
      <c r="CC27" s="44"/>
      <c r="CD27" s="44"/>
      <c r="CE27" s="44"/>
      <c r="CF27" s="44"/>
      <c r="CG27" s="44"/>
      <c r="CH27" s="44"/>
      <c r="CI27" s="44"/>
      <c r="CJ27" s="44"/>
      <c r="CK27" s="44"/>
      <c r="CL27" s="44"/>
      <c r="CM27" s="44"/>
      <c r="CN27" s="44"/>
      <c r="CO27" s="44"/>
      <c r="CP27" s="44"/>
      <c r="CQ27" s="44"/>
      <c r="CR27" s="44"/>
      <c r="CS27" s="44"/>
      <c r="CT27" s="44"/>
      <c r="CU27" s="44"/>
    </row>
    <row r="28" spans="1:99" s="3" customFormat="1" ht="30" customHeight="1" thickBot="1">
      <c r="A28" s="58"/>
      <c r="B28" s="81" t="s">
        <v>35</v>
      </c>
      <c r="C28" s="76"/>
      <c r="D28" s="37"/>
      <c r="E28" s="67" t="s">
        <v>39</v>
      </c>
      <c r="F28" s="67" t="s">
        <v>39</v>
      </c>
      <c r="G28" s="17"/>
      <c r="H28" s="17" t="e">
        <f t="shared" ca="1" si="38"/>
        <v>#VALUE!</v>
      </c>
      <c r="I28" s="44"/>
      <c r="J28" s="44"/>
      <c r="K28" s="44"/>
      <c r="L28" s="44"/>
      <c r="M28" s="44"/>
      <c r="N28" s="44"/>
      <c r="O28" s="44"/>
      <c r="P28" s="44"/>
      <c r="Q28" s="44"/>
      <c r="R28" s="44"/>
      <c r="S28" s="44"/>
      <c r="T28" s="44"/>
      <c r="U28" s="44"/>
      <c r="V28" s="44"/>
      <c r="W28" s="44"/>
      <c r="X28" s="44"/>
      <c r="Y28" s="44"/>
      <c r="Z28" s="44"/>
      <c r="AA28" s="44"/>
      <c r="AB28" s="44"/>
      <c r="AC28" s="44"/>
      <c r="AD28" s="44"/>
      <c r="AE28" s="44"/>
      <c r="AF28" s="44"/>
      <c r="AG28" s="44"/>
      <c r="AH28" s="44"/>
      <c r="AI28" s="44"/>
      <c r="AJ28" s="44"/>
      <c r="AK28" s="44"/>
      <c r="AL28" s="44"/>
      <c r="AM28" s="44"/>
      <c r="AN28" s="44"/>
      <c r="AO28" s="44"/>
      <c r="AP28" s="44"/>
      <c r="AQ28" s="44"/>
      <c r="AR28" s="44"/>
      <c r="AS28" s="44"/>
      <c r="AT28" s="44"/>
      <c r="AU28" s="44"/>
      <c r="AV28" s="44"/>
      <c r="AW28" s="44"/>
      <c r="AX28" s="44"/>
      <c r="AY28" s="44"/>
      <c r="AZ28" s="44"/>
      <c r="BA28" s="44"/>
      <c r="BB28" s="44"/>
      <c r="BC28" s="44"/>
      <c r="BD28" s="44"/>
      <c r="BE28" s="44"/>
      <c r="BF28" s="44"/>
      <c r="BG28" s="44"/>
      <c r="BH28" s="44"/>
      <c r="BI28" s="44"/>
      <c r="BJ28" s="44"/>
      <c r="BK28" s="44"/>
      <c r="BL28" s="44"/>
      <c r="BM28" s="44"/>
      <c r="BN28" s="44"/>
      <c r="BO28" s="44"/>
      <c r="BP28" s="44"/>
      <c r="BQ28" s="44"/>
      <c r="BR28" s="44"/>
      <c r="BS28" s="44"/>
      <c r="BT28" s="44"/>
      <c r="BU28" s="44"/>
      <c r="BV28" s="44"/>
      <c r="BW28" s="44"/>
      <c r="BX28" s="44"/>
      <c r="BY28" s="44"/>
      <c r="BZ28" s="44"/>
      <c r="CA28" s="44"/>
      <c r="CB28" s="44"/>
      <c r="CC28" s="44"/>
      <c r="CD28" s="44"/>
      <c r="CE28" s="44"/>
      <c r="CF28" s="44"/>
      <c r="CG28" s="44"/>
      <c r="CH28" s="44"/>
      <c r="CI28" s="44"/>
      <c r="CJ28" s="44"/>
      <c r="CK28" s="44"/>
      <c r="CL28" s="44"/>
      <c r="CM28" s="44"/>
      <c r="CN28" s="44"/>
      <c r="CO28" s="44"/>
      <c r="CP28" s="44"/>
      <c r="CQ28" s="44"/>
      <c r="CR28" s="44"/>
      <c r="CS28" s="44"/>
      <c r="CT28" s="44"/>
      <c r="CU28" s="44"/>
    </row>
    <row r="29" spans="1:99" s="3" customFormat="1" ht="30" customHeight="1" thickBot="1">
      <c r="A29" s="58"/>
      <c r="B29" s="81" t="s">
        <v>29</v>
      </c>
      <c r="C29" s="76"/>
      <c r="D29" s="37"/>
      <c r="E29" s="67" t="s">
        <v>39</v>
      </c>
      <c r="F29" s="67" t="s">
        <v>39</v>
      </c>
      <c r="G29" s="17"/>
      <c r="H29" s="17" t="e">
        <f t="shared" ca="1" si="38"/>
        <v>#VALUE!</v>
      </c>
      <c r="I29" s="44"/>
      <c r="J29" s="44"/>
      <c r="K29" s="44"/>
      <c r="L29" s="44"/>
      <c r="M29" s="44"/>
      <c r="N29" s="44"/>
      <c r="O29" s="44"/>
      <c r="P29" s="44"/>
      <c r="Q29" s="44"/>
      <c r="R29" s="44"/>
      <c r="S29" s="44"/>
      <c r="T29" s="44"/>
      <c r="U29" s="44"/>
      <c r="V29" s="44"/>
      <c r="W29" s="44"/>
      <c r="X29" s="44"/>
      <c r="Y29" s="44"/>
      <c r="Z29" s="44"/>
      <c r="AA29" s="44"/>
      <c r="AB29" s="44"/>
      <c r="AC29" s="44"/>
      <c r="AD29" s="44"/>
      <c r="AE29" s="44"/>
      <c r="AF29" s="44"/>
      <c r="AG29" s="44"/>
      <c r="AH29" s="44"/>
      <c r="AI29" s="44"/>
      <c r="AJ29" s="44"/>
      <c r="AK29" s="44"/>
      <c r="AL29" s="44"/>
      <c r="AM29" s="44"/>
      <c r="AN29" s="44"/>
      <c r="AO29" s="44"/>
      <c r="AP29" s="44"/>
      <c r="AQ29" s="44"/>
      <c r="AR29" s="44"/>
      <c r="AS29" s="44"/>
      <c r="AT29" s="44"/>
      <c r="AU29" s="44"/>
      <c r="AV29" s="44"/>
      <c r="AW29" s="44"/>
      <c r="AX29" s="44"/>
      <c r="AY29" s="44"/>
      <c r="AZ29" s="44"/>
      <c r="BA29" s="44"/>
      <c r="BB29" s="44"/>
      <c r="BC29" s="44"/>
      <c r="BD29" s="44"/>
      <c r="BE29" s="44"/>
      <c r="BF29" s="44"/>
      <c r="BG29" s="44"/>
      <c r="BH29" s="44"/>
      <c r="BI29" s="44"/>
      <c r="BJ29" s="44"/>
      <c r="BK29" s="44"/>
      <c r="BL29" s="44"/>
      <c r="BM29" s="44"/>
      <c r="BN29" s="44"/>
      <c r="BO29" s="44"/>
      <c r="BP29" s="44"/>
      <c r="BQ29" s="44"/>
      <c r="BR29" s="44"/>
      <c r="BS29" s="44"/>
      <c r="BT29" s="44"/>
      <c r="BU29" s="44"/>
      <c r="BV29" s="44"/>
      <c r="BW29" s="44"/>
      <c r="BX29" s="44"/>
      <c r="BY29" s="44"/>
      <c r="BZ29" s="44"/>
      <c r="CA29" s="44"/>
      <c r="CB29" s="44"/>
      <c r="CC29" s="44"/>
      <c r="CD29" s="44"/>
      <c r="CE29" s="44"/>
      <c r="CF29" s="44"/>
      <c r="CG29" s="44"/>
      <c r="CH29" s="44"/>
      <c r="CI29" s="44"/>
      <c r="CJ29" s="44"/>
      <c r="CK29" s="44"/>
      <c r="CL29" s="44"/>
      <c r="CM29" s="44"/>
      <c r="CN29" s="44"/>
      <c r="CO29" s="44"/>
      <c r="CP29" s="44"/>
      <c r="CQ29" s="44"/>
      <c r="CR29" s="44"/>
      <c r="CS29" s="44"/>
      <c r="CT29" s="44"/>
      <c r="CU29" s="44"/>
    </row>
    <row r="30" spans="1:99" s="3" customFormat="1" ht="30" customHeight="1" thickBot="1">
      <c r="A30" s="58"/>
      <c r="B30" s="81" t="s">
        <v>30</v>
      </c>
      <c r="C30" s="76"/>
      <c r="D30" s="37"/>
      <c r="E30" s="67" t="s">
        <v>39</v>
      </c>
      <c r="F30" s="67" t="s">
        <v>39</v>
      </c>
      <c r="G30" s="17"/>
      <c r="H30" s="17" t="e">
        <f t="shared" ca="1" si="38"/>
        <v>#VALUE!</v>
      </c>
      <c r="I30" s="44"/>
      <c r="J30" s="44"/>
      <c r="K30" s="44"/>
      <c r="L30" s="44"/>
      <c r="M30" s="44"/>
      <c r="N30" s="44"/>
      <c r="O30" s="44"/>
      <c r="P30" s="44"/>
      <c r="Q30" s="44"/>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44"/>
      <c r="AT30" s="44"/>
      <c r="AU30" s="44"/>
      <c r="AV30" s="44"/>
      <c r="AW30" s="44"/>
      <c r="AX30" s="44"/>
      <c r="AY30" s="44"/>
      <c r="AZ30" s="44"/>
      <c r="BA30" s="44"/>
      <c r="BB30" s="44"/>
      <c r="BC30" s="44"/>
      <c r="BD30" s="44"/>
      <c r="BE30" s="44"/>
      <c r="BF30" s="44"/>
      <c r="BG30" s="44"/>
      <c r="BH30" s="44"/>
      <c r="BI30" s="44"/>
      <c r="BJ30" s="44"/>
      <c r="BK30" s="44"/>
      <c r="BL30" s="44"/>
      <c r="BM30" s="44"/>
      <c r="BN30" s="44"/>
      <c r="BO30" s="44"/>
      <c r="BP30" s="44"/>
      <c r="BQ30" s="44"/>
      <c r="BR30" s="44"/>
      <c r="BS30" s="44"/>
      <c r="BT30" s="44"/>
      <c r="BU30" s="44"/>
      <c r="BV30" s="44"/>
      <c r="BW30" s="44"/>
      <c r="BX30" s="44"/>
      <c r="BY30" s="44"/>
      <c r="BZ30" s="44"/>
      <c r="CA30" s="44"/>
      <c r="CB30" s="44"/>
      <c r="CC30" s="44"/>
      <c r="CD30" s="44"/>
      <c r="CE30" s="44"/>
      <c r="CF30" s="44"/>
      <c r="CG30" s="44"/>
      <c r="CH30" s="44"/>
      <c r="CI30" s="44"/>
      <c r="CJ30" s="44"/>
      <c r="CK30" s="44"/>
      <c r="CL30" s="44"/>
      <c r="CM30" s="44"/>
      <c r="CN30" s="44"/>
      <c r="CO30" s="44"/>
      <c r="CP30" s="44"/>
      <c r="CQ30" s="44"/>
      <c r="CR30" s="44"/>
      <c r="CS30" s="44"/>
      <c r="CT30" s="44"/>
      <c r="CU30" s="44"/>
    </row>
    <row r="31" spans="1:99" s="3" customFormat="1" ht="30" customHeight="1" thickBot="1">
      <c r="A31" s="58"/>
      <c r="B31" s="81" t="s">
        <v>31</v>
      </c>
      <c r="C31" s="76"/>
      <c r="D31" s="37"/>
      <c r="E31" s="67" t="s">
        <v>39</v>
      </c>
      <c r="F31" s="67" t="s">
        <v>39</v>
      </c>
      <c r="G31" s="17"/>
      <c r="H31" s="17" t="e">
        <f t="shared" ca="1" si="38"/>
        <v>#VALUE!</v>
      </c>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44"/>
      <c r="AS31" s="44"/>
      <c r="AT31" s="44"/>
      <c r="AU31" s="44"/>
      <c r="AV31" s="44"/>
      <c r="AW31" s="44"/>
      <c r="AX31" s="44"/>
      <c r="AY31" s="44"/>
      <c r="AZ31" s="44"/>
      <c r="BA31" s="44"/>
      <c r="BB31" s="44"/>
      <c r="BC31" s="44"/>
      <c r="BD31" s="44"/>
      <c r="BE31" s="44"/>
      <c r="BF31" s="44"/>
      <c r="BG31" s="44"/>
      <c r="BH31" s="44"/>
      <c r="BI31" s="44"/>
      <c r="BJ31" s="44"/>
      <c r="BK31" s="44"/>
      <c r="BL31" s="44"/>
      <c r="BM31" s="44"/>
      <c r="BN31" s="44"/>
      <c r="BO31" s="44"/>
      <c r="BP31" s="44"/>
      <c r="BQ31" s="44"/>
      <c r="BR31" s="44"/>
      <c r="BS31" s="44"/>
      <c r="BT31" s="44"/>
      <c r="BU31" s="44"/>
      <c r="BV31" s="44"/>
      <c r="BW31" s="44"/>
      <c r="BX31" s="44"/>
      <c r="BY31" s="44"/>
      <c r="BZ31" s="44"/>
      <c r="CA31" s="44"/>
      <c r="CB31" s="44"/>
      <c r="CC31" s="44"/>
      <c r="CD31" s="44"/>
      <c r="CE31" s="44"/>
      <c r="CF31" s="44"/>
      <c r="CG31" s="44"/>
      <c r="CH31" s="44"/>
      <c r="CI31" s="44"/>
      <c r="CJ31" s="44"/>
      <c r="CK31" s="44"/>
      <c r="CL31" s="44"/>
      <c r="CM31" s="44"/>
      <c r="CN31" s="44"/>
      <c r="CO31" s="44"/>
      <c r="CP31" s="44"/>
      <c r="CQ31" s="44"/>
      <c r="CR31" s="44"/>
      <c r="CS31" s="44"/>
      <c r="CT31" s="44"/>
      <c r="CU31" s="44"/>
    </row>
    <row r="32" spans="1:99" s="3" customFormat="1" ht="30" customHeight="1" thickBot="1">
      <c r="A32" s="58" t="s">
        <v>40</v>
      </c>
      <c r="B32" s="82"/>
      <c r="C32" s="77"/>
      <c r="D32" s="16"/>
      <c r="E32" s="68"/>
      <c r="F32" s="68"/>
      <c r="G32" s="17"/>
      <c r="H32" s="17" t="str">
        <f t="shared" ca="1" si="38"/>
        <v/>
      </c>
      <c r="I32" s="44"/>
      <c r="J32" s="44"/>
      <c r="K32" s="44"/>
      <c r="L32" s="44"/>
      <c r="M32" s="44"/>
      <c r="N32" s="44"/>
      <c r="O32" s="44"/>
      <c r="P32" s="44"/>
      <c r="Q32" s="44"/>
      <c r="R32" s="44"/>
      <c r="S32" s="44"/>
      <c r="T32" s="44"/>
      <c r="U32" s="44"/>
      <c r="V32" s="44"/>
      <c r="W32" s="44"/>
      <c r="X32" s="44"/>
      <c r="Y32" s="44"/>
      <c r="Z32" s="44"/>
      <c r="AA32" s="44"/>
      <c r="AB32" s="44"/>
      <c r="AC32" s="44"/>
      <c r="AD32" s="44"/>
      <c r="AE32" s="44"/>
      <c r="AF32" s="44"/>
      <c r="AG32" s="44"/>
      <c r="AH32" s="44"/>
      <c r="AI32" s="44"/>
      <c r="AJ32" s="44"/>
      <c r="AK32" s="44"/>
      <c r="AL32" s="44"/>
      <c r="AM32" s="44"/>
      <c r="AN32" s="44"/>
      <c r="AO32" s="44"/>
      <c r="AP32" s="44"/>
      <c r="AQ32" s="44"/>
      <c r="AR32" s="44"/>
      <c r="AS32" s="44"/>
      <c r="AT32" s="44"/>
      <c r="AU32" s="44"/>
      <c r="AV32" s="44"/>
      <c r="AW32" s="44"/>
      <c r="AX32" s="44"/>
      <c r="AY32" s="44"/>
      <c r="AZ32" s="44"/>
      <c r="BA32" s="44"/>
      <c r="BB32" s="44"/>
      <c r="BC32" s="44"/>
      <c r="BD32" s="44"/>
      <c r="BE32" s="44"/>
      <c r="BF32" s="44"/>
      <c r="BG32" s="44"/>
      <c r="BH32" s="44"/>
      <c r="BI32" s="44"/>
      <c r="BJ32" s="44"/>
      <c r="BK32" s="44"/>
      <c r="BL32" s="44"/>
      <c r="BM32" s="44"/>
      <c r="BN32" s="44"/>
      <c r="BO32" s="44"/>
      <c r="BP32" s="44"/>
      <c r="BQ32" s="44"/>
      <c r="BR32" s="44"/>
      <c r="BS32" s="44"/>
      <c r="BT32" s="44"/>
      <c r="BU32" s="44"/>
      <c r="BV32" s="44"/>
      <c r="BW32" s="44"/>
      <c r="BX32" s="44"/>
      <c r="BY32" s="44"/>
      <c r="BZ32" s="44"/>
      <c r="CA32" s="44"/>
      <c r="CB32" s="44"/>
      <c r="CC32" s="44"/>
      <c r="CD32" s="44"/>
      <c r="CE32" s="44"/>
      <c r="CF32" s="44"/>
      <c r="CG32" s="44"/>
      <c r="CH32" s="44"/>
      <c r="CI32" s="44"/>
      <c r="CJ32" s="44"/>
      <c r="CK32" s="44"/>
      <c r="CL32" s="44"/>
      <c r="CM32" s="44"/>
      <c r="CN32" s="44"/>
      <c r="CO32" s="44"/>
      <c r="CP32" s="44"/>
      <c r="CQ32" s="44"/>
      <c r="CR32" s="44"/>
      <c r="CS32" s="44"/>
      <c r="CT32" s="44"/>
      <c r="CU32" s="44"/>
    </row>
    <row r="33" spans="1:99" s="3" customFormat="1" ht="30" customHeight="1" thickBot="1">
      <c r="A33" s="59" t="s">
        <v>41</v>
      </c>
      <c r="B33" s="38" t="s">
        <v>42</v>
      </c>
      <c r="C33" s="39"/>
      <c r="D33" s="40"/>
      <c r="E33" s="41"/>
      <c r="F33" s="42"/>
      <c r="G33" s="43"/>
      <c r="H33" s="43" t="str">
        <f t="shared" ca="1" si="38"/>
        <v/>
      </c>
      <c r="I33" s="46"/>
      <c r="J33" s="46"/>
      <c r="K33" s="46"/>
      <c r="L33" s="46"/>
      <c r="M33" s="46"/>
      <c r="N33" s="46"/>
      <c r="O33" s="46"/>
      <c r="P33" s="46"/>
      <c r="Q33" s="46"/>
      <c r="R33" s="46"/>
      <c r="S33" s="46"/>
      <c r="T33" s="46"/>
      <c r="U33" s="46"/>
      <c r="V33" s="46"/>
      <c r="W33" s="46"/>
      <c r="X33" s="46"/>
      <c r="Y33" s="46"/>
      <c r="Z33" s="46"/>
      <c r="AA33" s="46"/>
      <c r="AB33" s="46"/>
      <c r="AC33" s="46"/>
      <c r="AD33" s="46"/>
      <c r="AE33" s="46"/>
      <c r="AF33" s="46"/>
      <c r="AG33" s="46"/>
      <c r="AH33" s="46"/>
      <c r="AI33" s="46"/>
      <c r="AJ33" s="46"/>
      <c r="AK33" s="46"/>
      <c r="AL33" s="46"/>
      <c r="AM33" s="46"/>
      <c r="AN33" s="46"/>
      <c r="AO33" s="46"/>
      <c r="AP33" s="46"/>
      <c r="AQ33" s="46"/>
      <c r="AR33" s="46"/>
      <c r="AS33" s="46"/>
      <c r="AT33" s="46"/>
      <c r="AU33" s="46"/>
      <c r="AV33" s="46"/>
      <c r="AW33" s="46"/>
      <c r="AX33" s="46"/>
      <c r="AY33" s="46"/>
      <c r="AZ33" s="46"/>
      <c r="BA33" s="46"/>
      <c r="BB33" s="46"/>
      <c r="BC33" s="46"/>
      <c r="BD33" s="46"/>
      <c r="BE33" s="46"/>
      <c r="BF33" s="46"/>
      <c r="BG33" s="46"/>
      <c r="BH33" s="46"/>
      <c r="BI33" s="46"/>
      <c r="BJ33" s="46"/>
      <c r="BK33" s="46"/>
      <c r="BL33" s="46"/>
      <c r="BM33" s="46"/>
      <c r="BN33" s="46"/>
      <c r="BO33" s="46"/>
      <c r="BP33" s="46"/>
      <c r="BQ33" s="46"/>
      <c r="BR33" s="46"/>
      <c r="BS33" s="46"/>
      <c r="BT33" s="46"/>
      <c r="BU33" s="46"/>
      <c r="BV33" s="46"/>
      <c r="BW33" s="46"/>
      <c r="BX33" s="46"/>
      <c r="BY33" s="46"/>
      <c r="BZ33" s="46"/>
      <c r="CA33" s="46"/>
      <c r="CB33" s="46"/>
      <c r="CC33" s="46"/>
      <c r="CD33" s="46"/>
      <c r="CE33" s="46"/>
      <c r="CF33" s="46"/>
      <c r="CG33" s="46"/>
      <c r="CH33" s="46"/>
      <c r="CI33" s="46"/>
      <c r="CJ33" s="46"/>
      <c r="CK33" s="46"/>
      <c r="CL33" s="46"/>
      <c r="CM33" s="46"/>
      <c r="CN33" s="46"/>
      <c r="CO33" s="46"/>
      <c r="CP33" s="46"/>
      <c r="CQ33" s="46"/>
      <c r="CR33" s="46"/>
      <c r="CS33" s="46"/>
      <c r="CT33" s="46"/>
      <c r="CU33" s="46"/>
    </row>
    <row r="34" spans="1:99" ht="30" customHeight="1">
      <c r="G34" s="6"/>
    </row>
    <row r="35" spans="1:99" ht="30" customHeight="1">
      <c r="C35" s="14"/>
      <c r="F35" s="60"/>
    </row>
    <row r="36" spans="1:99" ht="30" customHeight="1">
      <c r="C36" s="15"/>
    </row>
  </sheetData>
  <mergeCells count="17">
    <mergeCell ref="C3:D3"/>
    <mergeCell ref="C4:D4"/>
    <mergeCell ref="B5:G5"/>
    <mergeCell ref="AK4:AQ4"/>
    <mergeCell ref="AR4:AX4"/>
    <mergeCell ref="AY4:BE4"/>
    <mergeCell ref="BF4:BL4"/>
    <mergeCell ref="E3:F3"/>
    <mergeCell ref="I4:O4"/>
    <mergeCell ref="P4:V4"/>
    <mergeCell ref="W4:AC4"/>
    <mergeCell ref="AD4:AJ4"/>
    <mergeCell ref="BM4:BS4"/>
    <mergeCell ref="BT4:BZ4"/>
    <mergeCell ref="CA4:CG4"/>
    <mergeCell ref="CH4:CN4"/>
    <mergeCell ref="CO4:CU4"/>
  </mergeCells>
  <conditionalFormatting sqref="D7:D33">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33 BM8:CU33 CH5:CT5 BM5:CG6 CH6:CU6">
    <cfRule type="expression" dxfId="3" priority="33">
      <formula>AND(TODAY()&gt;=I$5,TODAY()&lt;J$5)</formula>
    </cfRule>
  </conditionalFormatting>
  <conditionalFormatting sqref="I7:BL33 BM8:CU33">
    <cfRule type="expression" dxfId="2" priority="27">
      <formula>AND(task_start&lt;=I$5,ROUNDDOWN((task_end-task_start+1)*task_progress,0)+task_start-1&gt;=I$5)</formula>
    </cfRule>
    <cfRule type="expression" dxfId="1" priority="28" stopIfTrue="1">
      <formula>AND(task_end&gt;=I$5,task_start&lt;J$5)</formula>
    </cfRule>
  </conditionalFormatting>
  <conditionalFormatting sqref="CU5">
    <cfRule type="expression" dxfId="0" priority="35">
      <formula>AND(TODAY()&gt;=CU$5,TODAY()&lt;#REF!)</formula>
    </cfRule>
  </conditionalFormatting>
  <dataValidations count="1">
    <dataValidation type="whole" operator="greaterThanOrEqual" allowBlank="1" showInputMessage="1" promptTitle="Display Week" prompt="Changing this number will scroll the Gantt Chart view." sqref="E4" xr:uid="{00000000-0002-0000-0000-000000000000}">
      <formula1>1</formula1>
    </dataValidation>
  </dataValidations>
  <printOptions horizontalCentered="1"/>
  <pageMargins left="0.35" right="0.35" top="0.35" bottom="0.5" header="0.3" footer="0.3"/>
  <pageSetup scale="57" fitToHeight="0" orientation="landscape" r:id="rId1"/>
  <headerFooter differentFirst="1" scaleWithDoc="0">
    <oddFooter>Page &amp;P of &amp;N</oddFooter>
  </headerFooter>
  <ignoredErrors>
    <ignoredError sqref="F22:F23 E23" formula="1"/>
  </ignoredError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D7:D33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topLeftCell="A9" zoomScaleNormal="100" workbookViewId="0"/>
  </sheetViews>
  <sheetFormatPr defaultColWidth="9.140625" defaultRowHeight="14.1"/>
  <cols>
    <col min="1" max="1" width="87.140625" style="48" customWidth="1"/>
    <col min="2" max="16384" width="9.140625" style="2"/>
  </cols>
  <sheetData>
    <row r="1" spans="1:2" ht="46.5" customHeight="1"/>
    <row r="2" spans="1:2" s="50" customFormat="1" ht="15.95">
      <c r="A2" s="49" t="s">
        <v>43</v>
      </c>
      <c r="B2" s="49"/>
    </row>
    <row r="3" spans="1:2" s="54" customFormat="1" ht="27" customHeight="1">
      <c r="A3" s="55" t="s">
        <v>44</v>
      </c>
      <c r="B3" s="55"/>
    </row>
    <row r="4" spans="1:2" s="51" customFormat="1" ht="26.1">
      <c r="A4" s="52" t="s">
        <v>45</v>
      </c>
    </row>
    <row r="5" spans="1:2" ht="74.25" customHeight="1">
      <c r="A5" s="53" t="s">
        <v>46</v>
      </c>
    </row>
    <row r="6" spans="1:2" ht="26.25" customHeight="1">
      <c r="A6" s="52" t="s">
        <v>47</v>
      </c>
    </row>
    <row r="7" spans="1:2" s="48" customFormat="1" ht="204.95" customHeight="1">
      <c r="A7" s="57" t="s">
        <v>48</v>
      </c>
    </row>
    <row r="8" spans="1:2" s="51" customFormat="1" ht="26.1">
      <c r="A8" s="52" t="s">
        <v>49</v>
      </c>
    </row>
    <row r="9" spans="1:2" ht="48">
      <c r="A9" s="53" t="s">
        <v>50</v>
      </c>
    </row>
    <row r="10" spans="1:2" s="48" customFormat="1" ht="27.95" customHeight="1">
      <c r="A10" s="56" t="s">
        <v>51</v>
      </c>
    </row>
    <row r="11" spans="1:2" s="51" customFormat="1" ht="26.1">
      <c r="A11" s="52" t="s">
        <v>52</v>
      </c>
    </row>
    <row r="12" spans="1:2" ht="32.1">
      <c r="A12" s="53" t="s">
        <v>53</v>
      </c>
    </row>
    <row r="13" spans="1:2" s="48" customFormat="1" ht="27.95" customHeight="1">
      <c r="A13" s="56" t="s">
        <v>54</v>
      </c>
    </row>
    <row r="14" spans="1:2" s="51" customFormat="1" ht="26.1">
      <c r="A14" s="52" t="s">
        <v>55</v>
      </c>
    </row>
    <row r="15" spans="1:2" ht="75" customHeight="1">
      <c r="A15" s="53" t="s">
        <v>56</v>
      </c>
    </row>
    <row r="16" spans="1:2" ht="63.95">
      <c r="A16" s="53" t="s">
        <v>57</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orientation="portrait" r:id="rId5"/>
  <drawing r:id="rId6"/>
</workshee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Huber André (huar)</cp:lastModifiedBy>
  <cp:revision/>
  <dcterms:created xsi:type="dcterms:W3CDTF">2019-03-19T17:17:03Z</dcterms:created>
  <dcterms:modified xsi:type="dcterms:W3CDTF">2025-09-09T08:50:52Z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0d9bad3-6dac-4e9a-89a3-89f3b8d247b2_Enabled">
    <vt:lpwstr>true</vt:lpwstr>
  </property>
  <property fmtid="{D5CDD505-2E9C-101B-9397-08002B2CF9AE}" pid="3" name="MSIP_Label_10d9bad3-6dac-4e9a-89a3-89f3b8d247b2_SetDate">
    <vt:lpwstr>2021-10-01T11:59:58Z</vt:lpwstr>
  </property>
  <property fmtid="{D5CDD505-2E9C-101B-9397-08002B2CF9AE}" pid="4" name="MSIP_Label_10d9bad3-6dac-4e9a-89a3-89f3b8d247b2_Method">
    <vt:lpwstr>Standard</vt:lpwstr>
  </property>
  <property fmtid="{D5CDD505-2E9C-101B-9397-08002B2CF9AE}" pid="5" name="MSIP_Label_10d9bad3-6dac-4e9a-89a3-89f3b8d247b2_Name">
    <vt:lpwstr>10d9bad3-6dac-4e9a-89a3-89f3b8d247b2</vt:lpwstr>
  </property>
  <property fmtid="{D5CDD505-2E9C-101B-9397-08002B2CF9AE}" pid="6" name="MSIP_Label_10d9bad3-6dac-4e9a-89a3-89f3b8d247b2_SiteId">
    <vt:lpwstr>5d1a9f9d-201f-4a10-b983-451cf65cbc1e</vt:lpwstr>
  </property>
  <property fmtid="{D5CDD505-2E9C-101B-9397-08002B2CF9AE}" pid="7" name="MSIP_Label_10d9bad3-6dac-4e9a-89a3-89f3b8d247b2_ActionId">
    <vt:lpwstr>748b7158-7ac6-4baa-a29d-aaee54a35113</vt:lpwstr>
  </property>
  <property fmtid="{D5CDD505-2E9C-101B-9397-08002B2CF9AE}" pid="8" name="MSIP_Label_10d9bad3-6dac-4e9a-89a3-89f3b8d247b2_ContentBits">
    <vt:lpwstr>0</vt:lpwstr>
  </property>
</Properties>
</file>