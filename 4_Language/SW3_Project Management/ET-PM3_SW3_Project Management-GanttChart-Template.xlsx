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B11DC0ED-EC7C-4445-8D47-FFD413B726B6}" xr6:coauthVersionLast="47" xr6:coauthVersionMax="47" xr10:uidLastSave="{00000000-0000-0000-0000-000000000000}"/>
  <bookViews>
    <workbookView xWindow="-110" yWindow="-110" windowWidth="19420" windowHeight="1150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1" l="1"/>
  <c r="F21" i="11"/>
  <c r="E21" i="11"/>
  <c r="E18" i="11"/>
  <c r="E19" i="11"/>
  <c r="F19" i="11" s="1"/>
  <c r="E20" i="11" s="1"/>
  <c r="F20" i="11" s="1"/>
  <c r="F18" i="11"/>
  <c r="F11" i="11"/>
  <c r="F10" i="11"/>
  <c r="E10" i="11"/>
  <c r="F9" i="11"/>
  <c r="E11" i="11"/>
  <c r="E16" i="11"/>
  <c r="F15" i="11"/>
  <c r="H15" i="11" s="1"/>
  <c r="H14" i="11"/>
  <c r="H16" i="11"/>
  <c r="H30" i="11"/>
  <c r="I5" i="11"/>
  <c r="H7" i="11"/>
  <c r="E9" i="11" l="1"/>
  <c r="H36" i="11"/>
  <c r="H35" i="11"/>
  <c r="H34" i="11"/>
  <c r="H33" i="11"/>
  <c r="H32" i="11"/>
  <c r="H31" i="11"/>
  <c r="H29" i="11"/>
  <c r="H23" i="11"/>
  <c r="H17" i="11"/>
  <c r="H8" i="11"/>
  <c r="F24" i="11" l="1"/>
  <c r="E25" i="11" s="1"/>
  <c r="F25" i="11" s="1"/>
  <c r="H25" i="11" s="1"/>
  <c r="E12" i="11"/>
  <c r="F12" i="11" s="1"/>
  <c r="E13" i="11" s="1"/>
  <c r="H24" i="11"/>
  <c r="H9" i="11"/>
  <c r="E26" i="11"/>
  <c r="F26" i="11" s="1"/>
  <c r="F13" i="11" l="1"/>
  <c r="H13" i="11" s="1"/>
  <c r="E28" i="11"/>
  <c r="H10" i="11"/>
  <c r="E27" i="11"/>
  <c r="H26" i="11"/>
  <c r="H18" i="11"/>
  <c r="J5" i="11"/>
  <c r="K5" i="11" s="1"/>
  <c r="L5" i="11" s="1"/>
  <c r="F28" i="11" l="1"/>
  <c r="H28" i="11"/>
  <c r="M5" i="11"/>
  <c r="I4" i="11" s="1"/>
  <c r="F27" i="11"/>
  <c r="H27" i="11" s="1"/>
  <c r="H19" i="11"/>
  <c r="H11" i="11"/>
  <c r="H12" i="11"/>
  <c r="N5" i="11" l="1"/>
  <c r="O5" i="11" s="1"/>
  <c r="P5" i="11" s="1"/>
  <c r="Q5" i="11" s="1"/>
  <c r="R5" i="11" s="1"/>
  <c r="S5" i="11" s="1"/>
  <c r="T5" i="11" s="1"/>
  <c r="H22" i="11"/>
  <c r="H21" i="11"/>
  <c r="H20" i="11"/>
  <c r="U5" i="11" l="1"/>
  <c r="V5" i="11" s="1"/>
  <c r="W5" i="11" s="1"/>
  <c r="X5" i="11" s="1"/>
  <c r="Y5" i="11" s="1"/>
  <c r="Z5" i="11" s="1"/>
  <c r="AA5" i="11" s="1"/>
  <c r="P4" i="11"/>
  <c r="AB5" i="11" l="1"/>
  <c r="AC5" i="11" s="1"/>
  <c r="AD5" i="11" s="1"/>
  <c r="AE5" i="11" s="1"/>
  <c r="AF5" i="11" s="1"/>
  <c r="AG5" i="11" s="1"/>
  <c r="AH5" i="11" s="1"/>
  <c r="W4" i="11"/>
  <c r="AI5" i="11" l="1"/>
  <c r="AJ5" i="11" s="1"/>
  <c r="AK5" i="11" s="1"/>
  <c r="AL5" i="11" s="1"/>
  <c r="AM5" i="11" s="1"/>
  <c r="AN5" i="11" s="1"/>
  <c r="AO5" i="11" s="1"/>
  <c r="AD4" i="11"/>
  <c r="AP5" i="11" l="1"/>
  <c r="AQ5" i="11" s="1"/>
  <c r="AR5" i="11" s="1"/>
  <c r="AS5" i="11" s="1"/>
  <c r="AT5" i="11" s="1"/>
  <c r="AK4" i="11"/>
  <c r="AU5" i="11" l="1"/>
  <c r="AV5" i="11" l="1"/>
  <c r="AR4" i="11" s="1"/>
  <c r="AW5" i="11" l="1"/>
  <c r="AX5" i="11" l="1"/>
  <c r="AY5" i="11" s="1"/>
  <c r="AZ5" i="11" l="1"/>
  <c r="BA5" i="11" l="1"/>
  <c r="BB5" i="11" l="1"/>
  <c r="BC5" i="11" l="1"/>
  <c r="AY4" i="11" s="1"/>
  <c r="BD5" i="11" l="1"/>
  <c r="BE5" i="11" l="1"/>
  <c r="BF5" i="11" l="1"/>
  <c r="BG5" i="11" l="1"/>
  <c r="BH5" i="11" l="1"/>
  <c r="BI5" i="11" l="1"/>
  <c r="BJ5" i="11" l="1"/>
  <c r="BF4" i="11" s="1"/>
  <c r="BK5" i="11" l="1"/>
  <c r="BL5" i="11" l="1"/>
  <c r="BM5" i="11" s="1"/>
  <c r="BN5" i="11" l="1"/>
  <c r="BO5" i="11" l="1"/>
  <c r="BP5" i="11" l="1"/>
  <c r="BQ5" i="11" l="1"/>
  <c r="BM4" i="11" s="1"/>
  <c r="BR5" i="11" l="1"/>
  <c r="BS5" i="11" l="1"/>
  <c r="BT5" i="11" l="1"/>
  <c r="BU5" i="11" l="1"/>
  <c r="BV5" i="11" l="1"/>
  <c r="BW5" i="11" l="1"/>
  <c r="BX5" i="11" l="1"/>
  <c r="BT4" i="11" s="1"/>
  <c r="BY5" i="11" l="1"/>
  <c r="BZ5" i="11" l="1"/>
  <c r="CA5" i="11" l="1"/>
  <c r="CB5" i="11" l="1"/>
  <c r="CC5" i="11" l="1"/>
  <c r="CD5" i="11" l="1"/>
  <c r="CE5" i="11" l="1"/>
  <c r="CA4" i="11" s="1"/>
  <c r="CF5" i="11" l="1"/>
  <c r="CG5" i="11" l="1"/>
  <c r="CH5" i="11" l="1"/>
  <c r="CI5" i="11" l="1"/>
  <c r="CJ5" i="11" l="1"/>
  <c r="CK5" i="11" l="1"/>
  <c r="CL5" i="11" l="1"/>
  <c r="CH4" i="11" s="1"/>
  <c r="CM5" i="11" l="1"/>
  <c r="CN5" i="11" l="1"/>
  <c r="CO5" i="11" l="1"/>
  <c r="CP5" i="11" l="1"/>
  <c r="CQ5" i="11" l="1"/>
  <c r="CR5" i="11" l="1"/>
  <c r="CS5" i="11" l="1"/>
  <c r="CO4" i="11" s="1"/>
  <c r="CT5" i="11" l="1"/>
  <c r="CU5" i="11" l="1"/>
</calcChain>
</file>

<file path=xl/sharedStrings.xml><?xml version="1.0" encoding="utf-8"?>
<sst xmlns="http://schemas.openxmlformats.org/spreadsheetml/2006/main" count="180" uniqueCount="71">
  <si>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</si>
  <si>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AUDIO BOARD (HS25)</t>
  </si>
  <si>
    <t>Enter Company Name in cell B2.</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</si>
  <si>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</si>
  <si>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</si>
  <si>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</si>
  <si>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</si>
  <si>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</si>
  <si>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</si>
  <si>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</si>
  <si>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</si>
  <si>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</si>
  <si>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</si>
  <si>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</si>
  <si>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</si>
  <si>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M</t>
  </si>
  <si>
    <t>T</t>
  </si>
  <si>
    <t>W</t>
  </si>
  <si>
    <t>F</t>
  </si>
  <si>
    <t>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</si>
  <si>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</si>
  <si>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</si>
  <si>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</si>
  <si>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</si>
  <si>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3</t>
  </si>
  <si>
    <t>Task 4</t>
  </si>
  <si>
    <t>Task 5</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</si>
  <si>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</si>
  <si>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Task 1</t>
  </si>
  <si>
    <t>Task 2</t>
  </si>
  <si>
    <t>Sample phase title block</t>
  </si>
  <si>
    <t>Phase 3 Title</t>
  </si>
  <si>
    <t>Phase 4 Title</t>
  </si>
  <si>
    <t>date</t>
  </si>
  <si>
    <t>This is an empty row</t>
  </si>
  <si>
    <t>This row marks the end of the Project Schedule. DO NOT enter anything in this row. 
Insert new rows ABOVE this one to continue building out your Project Schedule.</t>
  </si>
  <si>
    <t>Insert new rows ABOVE this one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</si>
  <si>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</si>
  <si>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</si>
  <si>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</si>
  <si>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</si>
  <si>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</si>
  <si>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</si>
  <si>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</si>
  <si>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</si>
  <si>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</si>
  <si>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</si>
  <si>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</si>
  <si>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</si>
  <si>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</si>
  <si>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</si>
  <si>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</si>
  <si>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Phase 1: HW Development</t>
  </si>
  <si>
    <t>PCB Layout</t>
  </si>
  <si>
    <t>LTspice Simulation</t>
  </si>
  <si>
    <t>Assembly</t>
  </si>
  <si>
    <t>Schematic Design</t>
  </si>
  <si>
    <t>HW Report</t>
  </si>
  <si>
    <t>HW Demo</t>
  </si>
  <si>
    <t>Testing (+ Report)</t>
  </si>
  <si>
    <t>Thomas, Bogdan</t>
  </si>
  <si>
    <t>Bogdan</t>
  </si>
  <si>
    <t>Thomas</t>
  </si>
  <si>
    <t>Submit HW Report</t>
  </si>
  <si>
    <t>Phase 2: FW Development</t>
  </si>
  <si>
    <t>Thomas Perri &amp; Bogdans Grebnevs</t>
  </si>
  <si>
    <t>Architecture Design</t>
  </si>
  <si>
    <t>Coding</t>
  </si>
  <si>
    <t>Testing</t>
  </si>
  <si>
    <t>Documentation</t>
  </si>
  <si>
    <t>FW Demo (+ Block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</si>
</sst>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yyyy\-mm\-dd;@"/>
  </numFmts>
  <fonts count="2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1"/>
      <color rgb="FFFF000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11" borderId="2" xfId="10" applyFill="1">
      <alignment horizontal="center" vertical="center"/>
    </xf>
    <xf numFmtId="165" fontId="9" fillId="10" borderId="2" xfId="10" applyFill="1">
      <alignment horizontal="center" vertical="center"/>
    </xf>
    <xf numFmtId="165"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169" fontId="9" fillId="3" borderId="2" xfId="10" applyNumberFormat="1" applyFill="1">
      <alignment horizontal="center" vertical="center"/>
    </xf>
    <xf numFmtId="169" fontId="9" fillId="4" borderId="2" xfId="10" applyNumberFormat="1" applyFill="1">
      <alignment horizontal="center" vertical="center"/>
    </xf>
    <xf numFmtId="169" fontId="23" fillId="3" borderId="2" xfId="10" applyNumberFormat="1" applyFont="1" applyFill="1">
      <alignment horizontal="center" vertical="center"/>
    </xf>
    <xf numFmtId="0" fontId="23" fillId="3" borderId="2" xfId="12" applyFont="1" applyFill="1">
      <alignment horizontal="left" vertical="center" indent="2"/>
    </xf>
    <xf numFmtId="169" fontId="5" fillId="3" borderId="2" xfId="10" applyNumberFormat="1" applyFont="1" applyFill="1">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4" fontId="9" fillId="0" borderId="3" xfId="9" applyNumberFormat="1">
      <alignment horizontal="center" vertical="center"/>
    </xf>
    <xf numFmtId="0" fontId="23" fillId="4" borderId="2" xfId="12" applyFont="1" applyFill="1">
      <alignment horizontal="left" vertical="center" indent="2"/>
    </xf>
    <xf numFmtId="169" fontId="23" fillId="4" borderId="2" xfId="10" applyNumberFormat="1" applyFont="1" applyFill="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3">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9"/>
  <sheetViews>
    <sheetView showGridLines="0" tabSelected="1" showRuler="0" zoomScale="80" zoomScaleNormal="80" zoomScalePageLayoutView="70" workbookViewId="0">
      <pane ySplit="6" topLeftCell="A20" activePane="bottomLeft" state="frozen"/>
      <selection pane="bottomLeft" activeCell="E25" sqref="E25"/>
    </sheetView>
  </sheetViews>
  <sheetFormatPr defaultColWidth="8.7265625" defaultRowHeight="30" customHeight="1" x14ac:dyDescent="0.35"/>
  <cols>
    <col min="1" max="1" width="2.7265625" style="58" customWidth="1"/>
    <col min="2" max="2" width="19.81640625" customWidth="1"/>
    <col min="3" max="3" width="30.7265625" customWidth="1"/>
    <col min="4" max="4" width="10.7265625" customWidth="1"/>
    <col min="5" max="5" width="10.453125" style="5" customWidth="1"/>
    <col min="6" max="6" width="10.453125" customWidth="1"/>
    <col min="7" max="7" width="2.7265625" customWidth="1"/>
    <col min="8" max="8" width="6.1796875" customWidth="1"/>
    <col min="9" max="99" width="2.453125" customWidth="1"/>
  </cols>
  <sheetData>
    <row r="1" spans="1:99" ht="30" customHeight="1" x14ac:dyDescent="0.65">
      <c r="A1" s="59" t="s">
        <v>0</v>
      </c>
      <c r="B1" s="63" t="s">
        <v>1</v>
      </c>
      <c r="C1" s="1"/>
      <c r="D1" s="2"/>
      <c r="E1" s="4"/>
      <c r="F1" s="47"/>
      <c r="H1" s="2"/>
      <c r="I1" s="14"/>
    </row>
    <row r="2" spans="1:99" ht="30" customHeight="1" x14ac:dyDescent="0.45">
      <c r="A2" s="58" t="s">
        <v>2</v>
      </c>
      <c r="B2" s="64" t="s">
        <v>65</v>
      </c>
      <c r="I2" s="61"/>
    </row>
    <row r="3" spans="1:99" ht="30" customHeight="1" x14ac:dyDescent="0.35">
      <c r="A3" s="58" t="s">
        <v>3</v>
      </c>
      <c r="B3" s="65"/>
      <c r="C3" s="88" t="s">
        <v>4</v>
      </c>
      <c r="D3" s="89"/>
      <c r="E3" s="94">
        <v>45919</v>
      </c>
      <c r="F3" s="94"/>
    </row>
    <row r="4" spans="1:99" ht="30" customHeight="1" x14ac:dyDescent="0.35">
      <c r="A4" s="59" t="s">
        <v>5</v>
      </c>
      <c r="C4" s="88" t="s">
        <v>6</v>
      </c>
      <c r="D4" s="89"/>
      <c r="E4" s="7">
        <v>1</v>
      </c>
      <c r="I4" s="91">
        <f>M5</f>
        <v>45919</v>
      </c>
      <c r="J4" s="92"/>
      <c r="K4" s="92"/>
      <c r="L4" s="92"/>
      <c r="M4" s="92"/>
      <c r="N4" s="92"/>
      <c r="O4" s="93"/>
      <c r="P4" s="91">
        <f>T5</f>
        <v>45926</v>
      </c>
      <c r="Q4" s="92"/>
      <c r="R4" s="92"/>
      <c r="S4" s="92"/>
      <c r="T4" s="92"/>
      <c r="U4" s="92"/>
      <c r="V4" s="93"/>
      <c r="W4" s="91">
        <f t="shared" ref="W4" si="0">AA5</f>
        <v>45933</v>
      </c>
      <c r="X4" s="92"/>
      <c r="Y4" s="92"/>
      <c r="Z4" s="92"/>
      <c r="AA4" s="92"/>
      <c r="AB4" s="92"/>
      <c r="AC4" s="93"/>
      <c r="AD4" s="91">
        <f t="shared" ref="AD4" si="1">AH5</f>
        <v>45940</v>
      </c>
      <c r="AE4" s="92"/>
      <c r="AF4" s="92"/>
      <c r="AG4" s="92"/>
      <c r="AH4" s="92"/>
      <c r="AI4" s="92"/>
      <c r="AJ4" s="93"/>
      <c r="AK4" s="91">
        <f t="shared" ref="AK4" si="2">AO5</f>
        <v>45947</v>
      </c>
      <c r="AL4" s="92"/>
      <c r="AM4" s="92"/>
      <c r="AN4" s="92"/>
      <c r="AO4" s="92"/>
      <c r="AP4" s="92"/>
      <c r="AQ4" s="93"/>
      <c r="AR4" s="91">
        <f t="shared" ref="AR4" si="3">AV5</f>
        <v>45954</v>
      </c>
      <c r="AS4" s="92"/>
      <c r="AT4" s="92"/>
      <c r="AU4" s="92"/>
      <c r="AV4" s="92"/>
      <c r="AW4" s="92"/>
      <c r="AX4" s="93"/>
      <c r="AY4" s="91">
        <f t="shared" ref="AY4" si="4">BC5</f>
        <v>45961</v>
      </c>
      <c r="AZ4" s="92"/>
      <c r="BA4" s="92"/>
      <c r="BB4" s="92"/>
      <c r="BC4" s="92"/>
      <c r="BD4" s="92"/>
      <c r="BE4" s="93"/>
      <c r="BF4" s="91">
        <f t="shared" ref="BF4" si="5">BJ5</f>
        <v>45968</v>
      </c>
      <c r="BG4" s="92"/>
      <c r="BH4" s="92"/>
      <c r="BI4" s="92"/>
      <c r="BJ4" s="92"/>
      <c r="BK4" s="92"/>
      <c r="BL4" s="93"/>
      <c r="BM4" s="91">
        <f t="shared" ref="BM4" si="6">BQ5</f>
        <v>45975</v>
      </c>
      <c r="BN4" s="92"/>
      <c r="BO4" s="92"/>
      <c r="BP4" s="92"/>
      <c r="BQ4" s="92"/>
      <c r="BR4" s="92"/>
      <c r="BS4" s="93"/>
      <c r="BT4" s="91">
        <f t="shared" ref="BT4" si="7">BX5</f>
        <v>45982</v>
      </c>
      <c r="BU4" s="92"/>
      <c r="BV4" s="92"/>
      <c r="BW4" s="92"/>
      <c r="BX4" s="92"/>
      <c r="BY4" s="92"/>
      <c r="BZ4" s="93"/>
      <c r="CA4" s="91">
        <f t="shared" ref="CA4" si="8">CE5</f>
        <v>45989</v>
      </c>
      <c r="CB4" s="92"/>
      <c r="CC4" s="92"/>
      <c r="CD4" s="92"/>
      <c r="CE4" s="92"/>
      <c r="CF4" s="92"/>
      <c r="CG4" s="93"/>
      <c r="CH4" s="91">
        <f t="shared" ref="CH4" si="9">CL5</f>
        <v>45996</v>
      </c>
      <c r="CI4" s="92"/>
      <c r="CJ4" s="92"/>
      <c r="CK4" s="92"/>
      <c r="CL4" s="92"/>
      <c r="CM4" s="92"/>
      <c r="CN4" s="93"/>
      <c r="CO4" s="91">
        <f>CS5</f>
        <v>46003</v>
      </c>
      <c r="CP4" s="92"/>
      <c r="CQ4" s="92"/>
      <c r="CR4" s="92"/>
      <c r="CS4" s="92"/>
      <c r="CT4" s="92"/>
      <c r="CU4" s="93"/>
    </row>
    <row r="5" spans="1:99" ht="15" customHeight="1" x14ac:dyDescent="0.35">
      <c r="A5" s="59" t="s">
        <v>7</v>
      </c>
      <c r="B5" s="90"/>
      <c r="C5" s="90"/>
      <c r="D5" s="90"/>
      <c r="E5" s="90"/>
      <c r="F5" s="90"/>
      <c r="G5" s="90"/>
      <c r="I5" s="11">
        <f>Project_Start-WEEKDAY(Project_Start,1)+2+7*(Display_Week-1)</f>
        <v>45915</v>
      </c>
      <c r="J5" s="10">
        <f>I5+1</f>
        <v>45916</v>
      </c>
      <c r="K5" s="10">
        <f t="shared" ref="K5:AX5" si="10">J5+1</f>
        <v>45917</v>
      </c>
      <c r="L5" s="10">
        <f t="shared" si="10"/>
        <v>45918</v>
      </c>
      <c r="M5" s="10">
        <f t="shared" si="10"/>
        <v>45919</v>
      </c>
      <c r="N5" s="10">
        <f t="shared" si="10"/>
        <v>45920</v>
      </c>
      <c r="O5" s="12">
        <f t="shared" si="10"/>
        <v>45921</v>
      </c>
      <c r="P5" s="11">
        <f>O5+1</f>
        <v>45922</v>
      </c>
      <c r="Q5" s="10">
        <f>P5+1</f>
        <v>45923</v>
      </c>
      <c r="R5" s="10">
        <f t="shared" si="10"/>
        <v>45924</v>
      </c>
      <c r="S5" s="10">
        <f t="shared" si="10"/>
        <v>45925</v>
      </c>
      <c r="T5" s="10">
        <f t="shared" si="10"/>
        <v>45926</v>
      </c>
      <c r="U5" s="10">
        <f t="shared" si="10"/>
        <v>45927</v>
      </c>
      <c r="V5" s="12">
        <f t="shared" si="10"/>
        <v>45928</v>
      </c>
      <c r="W5" s="11">
        <f>V5+1</f>
        <v>45929</v>
      </c>
      <c r="X5" s="10">
        <f>W5+1</f>
        <v>45930</v>
      </c>
      <c r="Y5" s="10">
        <f t="shared" si="10"/>
        <v>45931</v>
      </c>
      <c r="Z5" s="10">
        <f t="shared" si="10"/>
        <v>45932</v>
      </c>
      <c r="AA5" s="10">
        <f t="shared" si="10"/>
        <v>45933</v>
      </c>
      <c r="AB5" s="10">
        <f t="shared" si="10"/>
        <v>45934</v>
      </c>
      <c r="AC5" s="12">
        <f t="shared" si="10"/>
        <v>45935</v>
      </c>
      <c r="AD5" s="11">
        <f>AC5+1</f>
        <v>45936</v>
      </c>
      <c r="AE5" s="10">
        <f>AD5+1</f>
        <v>45937</v>
      </c>
      <c r="AF5" s="10">
        <f t="shared" si="10"/>
        <v>45938</v>
      </c>
      <c r="AG5" s="10">
        <f t="shared" si="10"/>
        <v>45939</v>
      </c>
      <c r="AH5" s="10">
        <f t="shared" si="10"/>
        <v>45940</v>
      </c>
      <c r="AI5" s="10">
        <f t="shared" si="10"/>
        <v>45941</v>
      </c>
      <c r="AJ5" s="12">
        <f t="shared" si="10"/>
        <v>45942</v>
      </c>
      <c r="AK5" s="11">
        <f>AJ5+1</f>
        <v>45943</v>
      </c>
      <c r="AL5" s="10">
        <f>AK5+1</f>
        <v>45944</v>
      </c>
      <c r="AM5" s="10">
        <f t="shared" si="10"/>
        <v>45945</v>
      </c>
      <c r="AN5" s="10">
        <f t="shared" si="10"/>
        <v>45946</v>
      </c>
      <c r="AO5" s="10">
        <f t="shared" si="10"/>
        <v>45947</v>
      </c>
      <c r="AP5" s="10">
        <f t="shared" si="10"/>
        <v>45948</v>
      </c>
      <c r="AQ5" s="12">
        <f t="shared" si="10"/>
        <v>45949</v>
      </c>
      <c r="AR5" s="11">
        <f>AQ5+1</f>
        <v>45950</v>
      </c>
      <c r="AS5" s="10">
        <f>AR5+1</f>
        <v>45951</v>
      </c>
      <c r="AT5" s="10">
        <f t="shared" si="10"/>
        <v>45952</v>
      </c>
      <c r="AU5" s="10">
        <f t="shared" si="10"/>
        <v>45953</v>
      </c>
      <c r="AV5" s="10">
        <f t="shared" si="10"/>
        <v>45954</v>
      </c>
      <c r="AW5" s="10">
        <f t="shared" si="10"/>
        <v>45955</v>
      </c>
      <c r="AX5" s="12">
        <f t="shared" si="10"/>
        <v>45956</v>
      </c>
      <c r="AY5" s="11">
        <f>AX5+1</f>
        <v>45957</v>
      </c>
      <c r="AZ5" s="10">
        <f>AY5+1</f>
        <v>45958</v>
      </c>
      <c r="BA5" s="10">
        <f t="shared" ref="BA5:BE5" si="11">AZ5+1</f>
        <v>45959</v>
      </c>
      <c r="BB5" s="10">
        <f t="shared" si="11"/>
        <v>45960</v>
      </c>
      <c r="BC5" s="10">
        <f t="shared" si="11"/>
        <v>45961</v>
      </c>
      <c r="BD5" s="10">
        <f t="shared" si="11"/>
        <v>45962</v>
      </c>
      <c r="BE5" s="12">
        <f t="shared" si="11"/>
        <v>45963</v>
      </c>
      <c r="BF5" s="11">
        <f>BE5+1</f>
        <v>45964</v>
      </c>
      <c r="BG5" s="10">
        <f>BF5+1</f>
        <v>45965</v>
      </c>
      <c r="BH5" s="10">
        <f t="shared" ref="BH5:BL5" si="12">BG5+1</f>
        <v>45966</v>
      </c>
      <c r="BI5" s="10">
        <f t="shared" si="12"/>
        <v>45967</v>
      </c>
      <c r="BJ5" s="10">
        <f t="shared" si="12"/>
        <v>45968</v>
      </c>
      <c r="BK5" s="10">
        <f t="shared" si="12"/>
        <v>45969</v>
      </c>
      <c r="BL5" s="12">
        <f t="shared" si="12"/>
        <v>45970</v>
      </c>
      <c r="BM5" s="12">
        <f t="shared" ref="BM5" si="13">BL5+1</f>
        <v>45971</v>
      </c>
      <c r="BN5" s="12">
        <f t="shared" ref="BN5" si="14">BM5+1</f>
        <v>45972</v>
      </c>
      <c r="BO5" s="12">
        <f t="shared" ref="BO5" si="15">BN5+1</f>
        <v>45973</v>
      </c>
      <c r="BP5" s="12">
        <f t="shared" ref="BP5" si="16">BO5+1</f>
        <v>45974</v>
      </c>
      <c r="BQ5" s="12">
        <f t="shared" ref="BQ5" si="17">BP5+1</f>
        <v>45975</v>
      </c>
      <c r="BR5" s="12">
        <f t="shared" ref="BR5" si="18">BQ5+1</f>
        <v>45976</v>
      </c>
      <c r="BS5" s="12">
        <f t="shared" ref="BS5" si="19">BR5+1</f>
        <v>45977</v>
      </c>
      <c r="BT5" s="12">
        <f t="shared" ref="BT5" si="20">BS5+1</f>
        <v>45978</v>
      </c>
      <c r="BU5" s="12">
        <f t="shared" ref="BU5" si="21">BT5+1</f>
        <v>45979</v>
      </c>
      <c r="BV5" s="12">
        <f t="shared" ref="BV5" si="22">BU5+1</f>
        <v>45980</v>
      </c>
      <c r="BW5" s="12">
        <f t="shared" ref="BW5" si="23">BV5+1</f>
        <v>45981</v>
      </c>
      <c r="BX5" s="12">
        <f t="shared" ref="BX5" si="24">BW5+1</f>
        <v>45982</v>
      </c>
      <c r="BY5" s="12">
        <f t="shared" ref="BY5" si="25">BX5+1</f>
        <v>45983</v>
      </c>
      <c r="BZ5" s="12">
        <f t="shared" ref="BZ5" si="26">BY5+1</f>
        <v>45984</v>
      </c>
      <c r="CA5" s="12">
        <f t="shared" ref="CA5" si="27">BZ5+1</f>
        <v>45985</v>
      </c>
      <c r="CB5" s="12">
        <f t="shared" ref="CB5" si="28">CA5+1</f>
        <v>45986</v>
      </c>
      <c r="CC5" s="12">
        <f t="shared" ref="CC5" si="29">CB5+1</f>
        <v>45987</v>
      </c>
      <c r="CD5" s="12">
        <f t="shared" ref="CD5" si="30">CC5+1</f>
        <v>45988</v>
      </c>
      <c r="CE5" s="12">
        <f t="shared" ref="CE5" si="31">CD5+1</f>
        <v>45989</v>
      </c>
      <c r="CF5" s="12">
        <f t="shared" ref="CF5" si="32">CE5+1</f>
        <v>45990</v>
      </c>
      <c r="CG5" s="12">
        <f t="shared" ref="CG5" si="33">CF5+1</f>
        <v>45991</v>
      </c>
      <c r="CH5" s="12">
        <f t="shared" ref="CH5" si="34">CG5+1</f>
        <v>45992</v>
      </c>
      <c r="CI5" s="12">
        <f t="shared" ref="CI5" si="35">CH5+1</f>
        <v>45993</v>
      </c>
      <c r="CJ5" s="12">
        <f t="shared" ref="CJ5" si="36">CI5+1</f>
        <v>45994</v>
      </c>
      <c r="CK5" s="12">
        <f t="shared" ref="CK5" si="37">CJ5+1</f>
        <v>45995</v>
      </c>
      <c r="CL5" s="12">
        <f t="shared" ref="CL5" si="38">CK5+1</f>
        <v>45996</v>
      </c>
      <c r="CM5" s="12">
        <f t="shared" ref="CM5" si="39">CL5+1</f>
        <v>45997</v>
      </c>
      <c r="CN5" s="12">
        <f t="shared" ref="CN5" si="40">CM5+1</f>
        <v>45998</v>
      </c>
      <c r="CO5" s="12">
        <f t="shared" ref="CO5" si="41">CN5+1</f>
        <v>45999</v>
      </c>
      <c r="CP5" s="12">
        <f t="shared" ref="CP5" si="42">CO5+1</f>
        <v>46000</v>
      </c>
      <c r="CQ5" s="12">
        <f t="shared" ref="CQ5" si="43">CP5+1</f>
        <v>46001</v>
      </c>
      <c r="CR5" s="12">
        <f t="shared" ref="CR5" si="44">CQ5+1</f>
        <v>46002</v>
      </c>
      <c r="CS5" s="12">
        <f t="shared" ref="CS5" si="45">CR5+1</f>
        <v>46003</v>
      </c>
      <c r="CT5" s="12">
        <f t="shared" ref="CT5" si="46">CS5+1</f>
        <v>46004</v>
      </c>
      <c r="CU5" s="12">
        <f t="shared" ref="CU5" si="47">CT5+1</f>
        <v>46005</v>
      </c>
    </row>
    <row r="6" spans="1:99" ht="30" customHeight="1" thickBot="1" x14ac:dyDescent="0.4">
      <c r="A6" s="59" t="s">
        <v>8</v>
      </c>
      <c r="B6" s="8" t="s">
        <v>9</v>
      </c>
      <c r="C6" s="9" t="s">
        <v>10</v>
      </c>
      <c r="D6" s="9" t="s">
        <v>11</v>
      </c>
      <c r="E6" s="9" t="s">
        <v>12</v>
      </c>
      <c r="F6" s="9" t="s">
        <v>13</v>
      </c>
      <c r="G6" s="9"/>
      <c r="H6" s="9" t="s">
        <v>14</v>
      </c>
      <c r="I6" s="13" t="s">
        <v>15</v>
      </c>
      <c r="J6" s="13" t="s">
        <v>16</v>
      </c>
      <c r="K6" s="13" t="s">
        <v>17</v>
      </c>
      <c r="L6" s="13" t="s">
        <v>16</v>
      </c>
      <c r="M6" s="13" t="s">
        <v>18</v>
      </c>
      <c r="N6" s="13" t="s">
        <v>19</v>
      </c>
      <c r="O6" s="13" t="s">
        <v>19</v>
      </c>
      <c r="P6" s="13" t="s">
        <v>15</v>
      </c>
      <c r="Q6" s="13" t="s">
        <v>16</v>
      </c>
      <c r="R6" s="13" t="s">
        <v>17</v>
      </c>
      <c r="S6" s="13" t="s">
        <v>16</v>
      </c>
      <c r="T6" s="13" t="s">
        <v>18</v>
      </c>
      <c r="U6" s="13" t="s">
        <v>19</v>
      </c>
      <c r="V6" s="13" t="s">
        <v>19</v>
      </c>
      <c r="W6" s="13" t="s">
        <v>15</v>
      </c>
      <c r="X6" s="13" t="s">
        <v>16</v>
      </c>
      <c r="Y6" s="13" t="s">
        <v>17</v>
      </c>
      <c r="Z6" s="13" t="s">
        <v>16</v>
      </c>
      <c r="AA6" s="13" t="s">
        <v>18</v>
      </c>
      <c r="AB6" s="13" t="s">
        <v>19</v>
      </c>
      <c r="AC6" s="13" t="s">
        <v>19</v>
      </c>
      <c r="AD6" s="13" t="s">
        <v>15</v>
      </c>
      <c r="AE6" s="13" t="s">
        <v>16</v>
      </c>
      <c r="AF6" s="13" t="s">
        <v>17</v>
      </c>
      <c r="AG6" s="13" t="s">
        <v>16</v>
      </c>
      <c r="AH6" s="13" t="s">
        <v>18</v>
      </c>
      <c r="AI6" s="13" t="s">
        <v>19</v>
      </c>
      <c r="AJ6" s="13" t="s">
        <v>19</v>
      </c>
      <c r="AK6" s="13" t="s">
        <v>15</v>
      </c>
      <c r="AL6" s="13" t="s">
        <v>16</v>
      </c>
      <c r="AM6" s="13" t="s">
        <v>17</v>
      </c>
      <c r="AN6" s="13" t="s">
        <v>16</v>
      </c>
      <c r="AO6" s="13" t="s">
        <v>18</v>
      </c>
      <c r="AP6" s="13" t="s">
        <v>19</v>
      </c>
      <c r="AQ6" s="13" t="s">
        <v>19</v>
      </c>
      <c r="AR6" s="13" t="s">
        <v>15</v>
      </c>
      <c r="AS6" s="13" t="s">
        <v>16</v>
      </c>
      <c r="AT6" s="13" t="s">
        <v>17</v>
      </c>
      <c r="AU6" s="13" t="s">
        <v>16</v>
      </c>
      <c r="AV6" s="13" t="s">
        <v>18</v>
      </c>
      <c r="AW6" s="13" t="s">
        <v>19</v>
      </c>
      <c r="AX6" s="13" t="s">
        <v>19</v>
      </c>
      <c r="AY6" s="13" t="s">
        <v>15</v>
      </c>
      <c r="AZ6" s="13" t="s">
        <v>16</v>
      </c>
      <c r="BA6" s="13" t="s">
        <v>17</v>
      </c>
      <c r="BB6" s="13" t="s">
        <v>16</v>
      </c>
      <c r="BC6" s="13" t="s">
        <v>18</v>
      </c>
      <c r="BD6" s="13" t="s">
        <v>19</v>
      </c>
      <c r="BE6" s="13" t="s">
        <v>19</v>
      </c>
      <c r="BF6" s="13" t="s">
        <v>15</v>
      </c>
      <c r="BG6" s="13" t="s">
        <v>16</v>
      </c>
      <c r="BH6" s="13" t="s">
        <v>17</v>
      </c>
      <c r="BI6" s="13" t="s">
        <v>16</v>
      </c>
      <c r="BJ6" s="13" t="s">
        <v>18</v>
      </c>
      <c r="BK6" s="13" t="s">
        <v>19</v>
      </c>
      <c r="BL6" s="13" t="s">
        <v>19</v>
      </c>
      <c r="BM6" s="13" t="s">
        <v>15</v>
      </c>
      <c r="BN6" s="13" t="s">
        <v>16</v>
      </c>
      <c r="BO6" s="13" t="s">
        <v>17</v>
      </c>
      <c r="BP6" s="13" t="s">
        <v>16</v>
      </c>
      <c r="BQ6" s="13" t="s">
        <v>18</v>
      </c>
      <c r="BR6" s="13" t="s">
        <v>19</v>
      </c>
      <c r="BS6" s="13" t="s">
        <v>19</v>
      </c>
      <c r="BT6" s="13" t="s">
        <v>15</v>
      </c>
      <c r="BU6" s="13" t="s">
        <v>16</v>
      </c>
      <c r="BV6" s="13" t="s">
        <v>17</v>
      </c>
      <c r="BW6" s="13" t="s">
        <v>16</v>
      </c>
      <c r="BX6" s="13" t="s">
        <v>18</v>
      </c>
      <c r="BY6" s="13" t="s">
        <v>19</v>
      </c>
      <c r="BZ6" s="13" t="s">
        <v>19</v>
      </c>
      <c r="CA6" s="13" t="s">
        <v>15</v>
      </c>
      <c r="CB6" s="13" t="s">
        <v>16</v>
      </c>
      <c r="CC6" s="13" t="s">
        <v>17</v>
      </c>
      <c r="CD6" s="13" t="s">
        <v>16</v>
      </c>
      <c r="CE6" s="13" t="s">
        <v>18</v>
      </c>
      <c r="CF6" s="13" t="s">
        <v>19</v>
      </c>
      <c r="CG6" s="13" t="s">
        <v>19</v>
      </c>
      <c r="CH6" s="13" t="s">
        <v>15</v>
      </c>
      <c r="CI6" s="13" t="s">
        <v>16</v>
      </c>
      <c r="CJ6" s="13" t="s">
        <v>17</v>
      </c>
      <c r="CK6" s="13" t="s">
        <v>16</v>
      </c>
      <c r="CL6" s="13" t="s">
        <v>18</v>
      </c>
      <c r="CM6" s="13" t="s">
        <v>19</v>
      </c>
      <c r="CN6" s="13" t="s">
        <v>19</v>
      </c>
      <c r="CO6" s="13" t="s">
        <v>15</v>
      </c>
      <c r="CP6" s="13" t="s">
        <v>16</v>
      </c>
      <c r="CQ6" s="13" t="s">
        <v>17</v>
      </c>
      <c r="CR6" s="13" t="s">
        <v>16</v>
      </c>
      <c r="CS6" s="13" t="s">
        <v>18</v>
      </c>
      <c r="CT6" s="13" t="s">
        <v>19</v>
      </c>
      <c r="CU6" s="13" t="s">
        <v>19</v>
      </c>
    </row>
    <row r="7" spans="1:99" ht="30" hidden="1" customHeight="1" thickBot="1" x14ac:dyDescent="0.4">
      <c r="A7" s="58" t="s">
        <v>20</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99" s="3" customFormat="1" ht="30" customHeight="1" thickBot="1" x14ac:dyDescent="0.4">
      <c r="A8" s="59" t="s">
        <v>21</v>
      </c>
      <c r="B8" s="18" t="s">
        <v>52</v>
      </c>
      <c r="C8" s="69"/>
      <c r="D8" s="19"/>
      <c r="E8" s="20"/>
      <c r="F8" s="21"/>
      <c r="G8" s="17"/>
      <c r="H8" s="17" t="str">
        <f t="shared" ref="H8:H36" si="48">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row>
    <row r="9" spans="1:99" s="3" customFormat="1" ht="30" customHeight="1" thickBot="1" x14ac:dyDescent="0.4">
      <c r="A9" s="59" t="s">
        <v>22</v>
      </c>
      <c r="B9" s="78" t="s">
        <v>56</v>
      </c>
      <c r="C9" s="70" t="s">
        <v>62</v>
      </c>
      <c r="D9" s="22">
        <v>0.7</v>
      </c>
      <c r="E9" s="83">
        <f>Project_Start</f>
        <v>45919</v>
      </c>
      <c r="F9" s="83">
        <f>E9+15</f>
        <v>45934</v>
      </c>
      <c r="G9" s="17"/>
      <c r="H9" s="17">
        <f t="shared" si="48"/>
        <v>16</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row>
    <row r="10" spans="1:99" s="3" customFormat="1" ht="30" customHeight="1" thickBot="1" x14ac:dyDescent="0.4">
      <c r="A10" s="59" t="s">
        <v>23</v>
      </c>
      <c r="B10" s="78" t="s">
        <v>53</v>
      </c>
      <c r="C10" s="70" t="s">
        <v>61</v>
      </c>
      <c r="D10" s="22">
        <v>0.2</v>
      </c>
      <c r="E10" s="83">
        <f>E9+14</f>
        <v>45933</v>
      </c>
      <c r="F10" s="83">
        <f>E10+7</f>
        <v>45940</v>
      </c>
      <c r="G10" s="17"/>
      <c r="H10" s="17">
        <f t="shared" si="48"/>
        <v>8</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row>
    <row r="11" spans="1:99" s="3" customFormat="1" ht="30" customHeight="1" thickBot="1" x14ac:dyDescent="0.4">
      <c r="A11" s="58"/>
      <c r="B11" s="78" t="s">
        <v>54</v>
      </c>
      <c r="C11" s="70" t="s">
        <v>61</v>
      </c>
      <c r="D11" s="22">
        <v>0.5</v>
      </c>
      <c r="E11" s="83">
        <f>Project_Start+7</f>
        <v>45926</v>
      </c>
      <c r="F11" s="83">
        <f>E11+7</f>
        <v>45933</v>
      </c>
      <c r="G11" s="17"/>
      <c r="H11" s="17">
        <f t="shared" si="48"/>
        <v>8</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row>
    <row r="12" spans="1:99" s="3" customFormat="1" ht="30" customHeight="1" thickBot="1" x14ac:dyDescent="0.4">
      <c r="A12" s="58"/>
      <c r="B12" s="78" t="s">
        <v>55</v>
      </c>
      <c r="C12" s="70" t="s">
        <v>62</v>
      </c>
      <c r="D12" s="22">
        <v>0</v>
      </c>
      <c r="E12" s="83">
        <f>F10+5</f>
        <v>45945</v>
      </c>
      <c r="F12" s="83">
        <f>E12+7</f>
        <v>45952</v>
      </c>
      <c r="G12" s="17"/>
      <c r="H12" s="17">
        <f t="shared" si="48"/>
        <v>8</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row>
    <row r="13" spans="1:99" s="3" customFormat="1" ht="30" customHeight="1" thickBot="1" x14ac:dyDescent="0.4">
      <c r="A13" s="58"/>
      <c r="B13" s="78" t="s">
        <v>59</v>
      </c>
      <c r="C13" s="70" t="s">
        <v>60</v>
      </c>
      <c r="D13" s="22">
        <v>0</v>
      </c>
      <c r="E13" s="83">
        <f>F12</f>
        <v>45952</v>
      </c>
      <c r="F13" s="83">
        <f>E13+7</f>
        <v>45959</v>
      </c>
      <c r="G13" s="17"/>
      <c r="H13" s="17">
        <f t="shared" si="48"/>
        <v>8</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row>
    <row r="14" spans="1:99" s="3" customFormat="1" ht="30" customHeight="1" thickBot="1" x14ac:dyDescent="0.4">
      <c r="A14" s="58"/>
      <c r="B14" s="86" t="s">
        <v>58</v>
      </c>
      <c r="C14" s="70" t="s">
        <v>60</v>
      </c>
      <c r="D14" s="22">
        <v>0</v>
      </c>
      <c r="E14" s="85">
        <v>45961</v>
      </c>
      <c r="F14" s="85">
        <v>45961</v>
      </c>
      <c r="G14" s="17"/>
      <c r="H14" s="17">
        <f t="shared" si="48"/>
        <v>1</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row>
    <row r="15" spans="1:99" s="3" customFormat="1" ht="30" customHeight="1" thickBot="1" x14ac:dyDescent="0.4">
      <c r="A15" s="58"/>
      <c r="B15" s="78" t="s">
        <v>57</v>
      </c>
      <c r="C15" s="70" t="s">
        <v>60</v>
      </c>
      <c r="D15" s="22">
        <v>0</v>
      </c>
      <c r="E15" s="83">
        <v>45947</v>
      </c>
      <c r="F15" s="83">
        <f>E15+23</f>
        <v>45970</v>
      </c>
      <c r="G15" s="17"/>
      <c r="H15" s="17">
        <f t="shared" si="48"/>
        <v>24</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row>
    <row r="16" spans="1:99" s="3" customFormat="1" ht="30" customHeight="1" thickBot="1" x14ac:dyDescent="0.4">
      <c r="A16" s="58"/>
      <c r="B16" s="86" t="s">
        <v>63</v>
      </c>
      <c r="C16" s="70" t="s">
        <v>60</v>
      </c>
      <c r="D16" s="22">
        <v>0</v>
      </c>
      <c r="E16" s="87">
        <f>F16</f>
        <v>45975</v>
      </c>
      <c r="F16" s="85">
        <v>45975</v>
      </c>
      <c r="G16" s="17"/>
      <c r="H16" s="17">
        <f t="shared" si="48"/>
        <v>1</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row>
    <row r="17" spans="1:99" s="3" customFormat="1" ht="30" customHeight="1" thickBot="1" x14ac:dyDescent="0.4">
      <c r="A17" s="59" t="s">
        <v>27</v>
      </c>
      <c r="B17" s="23" t="s">
        <v>64</v>
      </c>
      <c r="C17" s="71"/>
      <c r="D17" s="24"/>
      <c r="E17" s="25"/>
      <c r="F17" s="26"/>
      <c r="G17" s="17"/>
      <c r="H17" s="17" t="str">
        <f t="shared" si="48"/>
        <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row>
    <row r="18" spans="1:99" s="3" customFormat="1" ht="30" customHeight="1" thickBot="1" x14ac:dyDescent="0.4">
      <c r="A18" s="59"/>
      <c r="B18" s="79" t="s">
        <v>66</v>
      </c>
      <c r="C18" s="72" t="s">
        <v>60</v>
      </c>
      <c r="D18" s="27">
        <v>0</v>
      </c>
      <c r="E18" s="84">
        <f>E14+7</f>
        <v>45968</v>
      </c>
      <c r="F18" s="84">
        <f>E18+2</f>
        <v>45970</v>
      </c>
      <c r="G18" s="17"/>
      <c r="H18" s="17">
        <f t="shared" si="48"/>
        <v>3</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row>
    <row r="19" spans="1:99" s="3" customFormat="1" ht="30" customHeight="1" thickBot="1" x14ac:dyDescent="0.4">
      <c r="A19" s="58"/>
      <c r="B19" s="79" t="s">
        <v>67</v>
      </c>
      <c r="C19" s="72"/>
      <c r="D19" s="27">
        <v>0</v>
      </c>
      <c r="E19" s="84">
        <f>E18+1</f>
        <v>45969</v>
      </c>
      <c r="F19" s="84">
        <f>E19+14</f>
        <v>45983</v>
      </c>
      <c r="G19" s="17"/>
      <c r="H19" s="17">
        <f t="shared" si="48"/>
        <v>15</v>
      </c>
      <c r="I19" s="44"/>
      <c r="J19" s="44"/>
      <c r="K19" s="44"/>
      <c r="L19" s="44"/>
      <c r="M19" s="44"/>
      <c r="N19" s="44"/>
      <c r="O19" s="44"/>
      <c r="P19" s="44"/>
      <c r="Q19" s="44"/>
      <c r="R19" s="44"/>
      <c r="S19" s="44"/>
      <c r="T19" s="44"/>
      <c r="U19" s="45"/>
      <c r="V19" s="45"/>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row>
    <row r="20" spans="1:99" s="3" customFormat="1" ht="30" customHeight="1" thickBot="1" x14ac:dyDescent="0.4">
      <c r="A20" s="58"/>
      <c r="B20" s="79" t="s">
        <v>68</v>
      </c>
      <c r="C20" s="72"/>
      <c r="D20" s="27">
        <v>0</v>
      </c>
      <c r="E20" s="84">
        <f>F19-5</f>
        <v>45978</v>
      </c>
      <c r="F20" s="84">
        <f>E20+7</f>
        <v>45985</v>
      </c>
      <c r="G20" s="17"/>
      <c r="H20" s="17">
        <f t="shared" si="48"/>
        <v>8</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row>
    <row r="21" spans="1:99" s="3" customFormat="1" ht="30" customHeight="1" thickBot="1" x14ac:dyDescent="0.4">
      <c r="A21" s="58"/>
      <c r="B21" s="79" t="s">
        <v>69</v>
      </c>
      <c r="C21" s="72" t="s">
        <v>60</v>
      </c>
      <c r="D21" s="27">
        <v>0</v>
      </c>
      <c r="E21" s="84">
        <f>E18</f>
        <v>45968</v>
      </c>
      <c r="F21" s="84">
        <f>F20+3</f>
        <v>45988</v>
      </c>
      <c r="G21" s="17"/>
      <c r="H21" s="17">
        <f t="shared" si="48"/>
        <v>21</v>
      </c>
      <c r="I21" s="44"/>
      <c r="J21" s="44"/>
      <c r="K21" s="44"/>
      <c r="L21" s="44"/>
      <c r="M21" s="44"/>
      <c r="N21" s="44"/>
      <c r="O21" s="44"/>
      <c r="P21" s="44"/>
      <c r="Q21" s="44"/>
      <c r="R21" s="44"/>
      <c r="S21" s="44"/>
      <c r="T21" s="44"/>
      <c r="U21" s="44"/>
      <c r="V21" s="44"/>
      <c r="W21" s="44"/>
      <c r="X21" s="44"/>
      <c r="Y21" s="45"/>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row>
    <row r="22" spans="1:99" s="3" customFormat="1" ht="30" customHeight="1" thickBot="1" x14ac:dyDescent="0.4">
      <c r="A22" s="58"/>
      <c r="B22" s="95" t="s">
        <v>70</v>
      </c>
      <c r="C22" s="72" t="s">
        <v>60</v>
      </c>
      <c r="D22" s="27">
        <v>0</v>
      </c>
      <c r="E22" s="84">
        <v>45996</v>
      </c>
      <c r="F22" s="96">
        <v>46003</v>
      </c>
      <c r="G22" s="17"/>
      <c r="H22" s="17">
        <f t="shared" si="48"/>
        <v>8</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row>
    <row r="23" spans="1:99" s="3" customFormat="1" ht="30" customHeight="1" thickBot="1" x14ac:dyDescent="0.4">
      <c r="A23" s="58" t="s">
        <v>30</v>
      </c>
      <c r="B23" s="28" t="s">
        <v>31</v>
      </c>
      <c r="C23" s="73"/>
      <c r="D23" s="29"/>
      <c r="E23" s="30"/>
      <c r="F23" s="31"/>
      <c r="G23" s="17"/>
      <c r="H23" s="17" t="str">
        <f t="shared" si="48"/>
        <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row>
    <row r="24" spans="1:99" s="3" customFormat="1" ht="30" customHeight="1" thickBot="1" x14ac:dyDescent="0.4">
      <c r="A24" s="58"/>
      <c r="B24" s="80" t="s">
        <v>28</v>
      </c>
      <c r="C24" s="74"/>
      <c r="D24" s="32"/>
      <c r="E24" s="66">
        <f>E9+15</f>
        <v>45934</v>
      </c>
      <c r="F24" s="66">
        <f>E24+5</f>
        <v>45939</v>
      </c>
      <c r="G24" s="17"/>
      <c r="H24" s="17">
        <f t="shared" si="48"/>
        <v>6</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row>
    <row r="25" spans="1:99" s="3" customFormat="1" ht="30" customHeight="1" thickBot="1" x14ac:dyDescent="0.4">
      <c r="A25" s="58"/>
      <c r="B25" s="80" t="s">
        <v>29</v>
      </c>
      <c r="C25" s="74"/>
      <c r="D25" s="32"/>
      <c r="E25" s="66">
        <f>F24+1</f>
        <v>45940</v>
      </c>
      <c r="F25" s="66">
        <f>E25+4</f>
        <v>45944</v>
      </c>
      <c r="G25" s="17"/>
      <c r="H25" s="17">
        <f t="shared" si="48"/>
        <v>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row>
    <row r="26" spans="1:99" s="3" customFormat="1" ht="30" customHeight="1" thickBot="1" x14ac:dyDescent="0.4">
      <c r="A26" s="58"/>
      <c r="B26" s="80" t="s">
        <v>24</v>
      </c>
      <c r="C26" s="74"/>
      <c r="D26" s="32"/>
      <c r="E26" s="66">
        <f>E25+5</f>
        <v>45945</v>
      </c>
      <c r="F26" s="66">
        <f>E26+5</f>
        <v>45950</v>
      </c>
      <c r="G26" s="17"/>
      <c r="H26" s="17">
        <f t="shared" si="48"/>
        <v>6</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row>
    <row r="27" spans="1:99" s="3" customFormat="1" ht="30" customHeight="1" thickBot="1" x14ac:dyDescent="0.4">
      <c r="A27" s="58"/>
      <c r="B27" s="80" t="s">
        <v>25</v>
      </c>
      <c r="C27" s="74"/>
      <c r="D27" s="32"/>
      <c r="E27" s="66">
        <f>F26+1</f>
        <v>45951</v>
      </c>
      <c r="F27" s="66">
        <f>E27+4</f>
        <v>45955</v>
      </c>
      <c r="G27" s="17"/>
      <c r="H27" s="17">
        <f t="shared" si="48"/>
        <v>5</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row>
    <row r="28" spans="1:99" s="3" customFormat="1" ht="30" customHeight="1" thickBot="1" x14ac:dyDescent="0.4">
      <c r="A28" s="58"/>
      <c r="B28" s="80" t="s">
        <v>26</v>
      </c>
      <c r="C28" s="74"/>
      <c r="D28" s="32"/>
      <c r="E28" s="66">
        <f>E26</f>
        <v>45945</v>
      </c>
      <c r="F28" s="66">
        <f>E28+4</f>
        <v>45949</v>
      </c>
      <c r="G28" s="17"/>
      <c r="H28" s="17">
        <f>IF(OR(ISBLANK(task_start),ISBLANK(task_end)),"",task_end-task_start+1)</f>
        <v>5</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row>
    <row r="29" spans="1:99" s="3" customFormat="1" ht="30" customHeight="1" thickBot="1" x14ac:dyDescent="0.4">
      <c r="A29" s="58" t="s">
        <v>30</v>
      </c>
      <c r="B29" s="33" t="s">
        <v>32</v>
      </c>
      <c r="C29" s="75"/>
      <c r="D29" s="34"/>
      <c r="E29" s="35"/>
      <c r="F29" s="36"/>
      <c r="G29" s="17"/>
      <c r="H29" s="17" t="str">
        <f t="shared" si="48"/>
        <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row>
    <row r="30" spans="1:99" s="3" customFormat="1" ht="30" customHeight="1" thickBot="1" x14ac:dyDescent="0.4">
      <c r="A30" s="58"/>
      <c r="B30" s="81" t="s">
        <v>28</v>
      </c>
      <c r="C30" s="76"/>
      <c r="D30" s="37"/>
      <c r="E30" s="67" t="s">
        <v>33</v>
      </c>
      <c r="F30" s="67" t="s">
        <v>33</v>
      </c>
      <c r="G30" s="17"/>
      <c r="H30" s="17" t="e">
        <f>IF(OR(ISBLANK(task_start),ISBLANK(task_end)),"",task_end-task_start+1)</f>
        <v>#VALUE!</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row>
    <row r="31" spans="1:99" s="3" customFormat="1" ht="30" customHeight="1" thickBot="1" x14ac:dyDescent="0.4">
      <c r="A31" s="58"/>
      <c r="B31" s="81" t="s">
        <v>29</v>
      </c>
      <c r="C31" s="76"/>
      <c r="D31" s="37"/>
      <c r="E31" s="67" t="s">
        <v>33</v>
      </c>
      <c r="F31" s="67" t="s">
        <v>33</v>
      </c>
      <c r="G31" s="17"/>
      <c r="H31" s="17" t="e">
        <f t="shared" si="48"/>
        <v>#VALUE!</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row>
    <row r="32" spans="1:99" s="3" customFormat="1" ht="30" customHeight="1" thickBot="1" x14ac:dyDescent="0.4">
      <c r="A32" s="58"/>
      <c r="B32" s="81" t="s">
        <v>24</v>
      </c>
      <c r="C32" s="76"/>
      <c r="D32" s="37"/>
      <c r="E32" s="67" t="s">
        <v>33</v>
      </c>
      <c r="F32" s="67" t="s">
        <v>33</v>
      </c>
      <c r="G32" s="17"/>
      <c r="H32" s="17" t="e">
        <f t="shared" si="48"/>
        <v>#VALUE!</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row>
    <row r="33" spans="1:99" s="3" customFormat="1" ht="30" customHeight="1" thickBot="1" x14ac:dyDescent="0.4">
      <c r="A33" s="58"/>
      <c r="B33" s="81" t="s">
        <v>25</v>
      </c>
      <c r="C33" s="76"/>
      <c r="D33" s="37"/>
      <c r="E33" s="67" t="s">
        <v>33</v>
      </c>
      <c r="F33" s="67" t="s">
        <v>33</v>
      </c>
      <c r="G33" s="17"/>
      <c r="H33" s="17" t="e">
        <f t="shared" si="48"/>
        <v>#VALUE!</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row>
    <row r="34" spans="1:99" s="3" customFormat="1" ht="30" customHeight="1" thickBot="1" x14ac:dyDescent="0.4">
      <c r="A34" s="58"/>
      <c r="B34" s="81" t="s">
        <v>26</v>
      </c>
      <c r="C34" s="76"/>
      <c r="D34" s="37"/>
      <c r="E34" s="67" t="s">
        <v>33</v>
      </c>
      <c r="F34" s="67" t="s">
        <v>33</v>
      </c>
      <c r="G34" s="17"/>
      <c r="H34" s="17" t="e">
        <f t="shared" si="48"/>
        <v>#VALUE!</v>
      </c>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row>
    <row r="35" spans="1:99" s="3" customFormat="1" ht="30" customHeight="1" thickBot="1" x14ac:dyDescent="0.4">
      <c r="A35" s="58" t="s">
        <v>34</v>
      </c>
      <c r="B35" s="82"/>
      <c r="C35" s="77"/>
      <c r="D35" s="16"/>
      <c r="E35" s="68"/>
      <c r="F35" s="68"/>
      <c r="G35" s="17"/>
      <c r="H35" s="17" t="str">
        <f t="shared" si="48"/>
        <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row>
    <row r="36" spans="1:99" s="3" customFormat="1" ht="30" customHeight="1" thickBot="1" x14ac:dyDescent="0.4">
      <c r="A36" s="59" t="s">
        <v>35</v>
      </c>
      <c r="B36" s="38" t="s">
        <v>36</v>
      </c>
      <c r="C36" s="39"/>
      <c r="D36" s="40"/>
      <c r="E36" s="41"/>
      <c r="F36" s="42"/>
      <c r="G36" s="43"/>
      <c r="H36" s="43" t="str">
        <f t="shared" si="48"/>
        <v/>
      </c>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row>
    <row r="37" spans="1:99" ht="30" customHeight="1" x14ac:dyDescent="0.35">
      <c r="G37" s="6"/>
    </row>
    <row r="38" spans="1:99" ht="30" customHeight="1" x14ac:dyDescent="0.35">
      <c r="C38" s="14"/>
      <c r="F38" s="60"/>
    </row>
    <row r="39" spans="1:99" ht="30" customHeight="1" x14ac:dyDescent="0.35">
      <c r="C39" s="15"/>
    </row>
  </sheetData>
  <mergeCells count="17">
    <mergeCell ref="BM4:BS4"/>
    <mergeCell ref="BT4:BZ4"/>
    <mergeCell ref="CA4:CG4"/>
    <mergeCell ref="CH4:CN4"/>
    <mergeCell ref="CO4:CU4"/>
    <mergeCell ref="AY4:BE4"/>
    <mergeCell ref="BF4:BL4"/>
    <mergeCell ref="E3:F3"/>
    <mergeCell ref="I4:O4"/>
    <mergeCell ref="P4:V4"/>
    <mergeCell ref="W4:AC4"/>
    <mergeCell ref="AD4:AJ4"/>
    <mergeCell ref="C3:D3"/>
    <mergeCell ref="C4:D4"/>
    <mergeCell ref="B5:G5"/>
    <mergeCell ref="AK4:AQ4"/>
    <mergeCell ref="AR4:AX4"/>
  </mergeCells>
  <conditionalFormatting sqref="D7:D3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2 BM8:CU12 I13:CU36 CH5:CT5 BM5:CG6 CH6:CU6">
    <cfRule type="expression" dxfId="3" priority="33">
      <formula>AND(TODAY()&gt;=I$5,TODAY()&lt;J$5)</formula>
    </cfRule>
  </conditionalFormatting>
  <conditionalFormatting sqref="I7:BL12 BM8:CU12 I13:CU36">
    <cfRule type="expression" dxfId="2" priority="27">
      <formula>AND(task_start&lt;=I$5,ROUNDDOWN((task_end-task_start+1)*task_progress,0)+task_start-1&gt;=I$5)</formula>
    </cfRule>
    <cfRule type="expression" dxfId="1" priority="28" stopIfTrue="1">
      <formula>AND(task_end&gt;=I$5,task_start&lt;J$5)</formula>
    </cfRule>
  </conditionalFormatting>
  <conditionalFormatting sqref="CU5">
    <cfRule type="expression" dxfId="0" priority="35">
      <formula>AND(TODAY()&gt;=CU$5,TODAY()&lt;#REF!)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5:F26 E26"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9" zoomScaleNormal="100" workbookViewId="0"/>
  </sheetViews>
  <sheetFormatPr defaultColWidth="9.1796875" defaultRowHeight="13" x14ac:dyDescent="0.3"/>
  <cols>
    <col min="1" max="1" width="87.1796875" style="48" customWidth="1"/>
    <col min="2" max="16384" width="9.1796875" style="2"/>
  </cols>
  <sheetData>
    <row r="1" spans="1:2" ht="46.5" customHeight="1" x14ac:dyDescent="0.3"/>
    <row r="2" spans="1:2" s="50" customFormat="1" ht="15.5" x14ac:dyDescent="0.35">
      <c r="A2" s="49" t="s">
        <v>37</v>
      </c>
      <c r="B2" s="49"/>
    </row>
    <row r="3" spans="1:2" s="54" customFormat="1" ht="27" customHeight="1" x14ac:dyDescent="0.35">
      <c r="A3" s="55" t="s">
        <v>38</v>
      </c>
      <c r="B3" s="55"/>
    </row>
    <row r="4" spans="1:2" s="51" customFormat="1" ht="26" x14ac:dyDescent="0.6">
      <c r="A4" s="52" t="s">
        <v>39</v>
      </c>
    </row>
    <row r="5" spans="1:2" ht="74.25" customHeight="1" x14ac:dyDescent="0.3">
      <c r="A5" s="53" t="s">
        <v>40</v>
      </c>
    </row>
    <row r="6" spans="1:2" ht="26.25" customHeight="1" x14ac:dyDescent="0.3">
      <c r="A6" s="52" t="s">
        <v>41</v>
      </c>
    </row>
    <row r="7" spans="1:2" s="48" customFormat="1" ht="205" customHeight="1" x14ac:dyDescent="0.35">
      <c r="A7" s="57" t="s">
        <v>42</v>
      </c>
    </row>
    <row r="8" spans="1:2" s="51" customFormat="1" ht="26" x14ac:dyDescent="0.6">
      <c r="A8" s="52" t="s">
        <v>43</v>
      </c>
    </row>
    <row r="9" spans="1:2" ht="58" x14ac:dyDescent="0.3">
      <c r="A9" s="53" t="s">
        <v>44</v>
      </c>
    </row>
    <row r="10" spans="1:2" s="48" customFormat="1" ht="28" customHeight="1" x14ac:dyDescent="0.35">
      <c r="A10" s="56" t="s">
        <v>45</v>
      </c>
    </row>
    <row r="11" spans="1:2" s="51" customFormat="1" ht="26" x14ac:dyDescent="0.6">
      <c r="A11" s="52" t="s">
        <v>46</v>
      </c>
    </row>
    <row r="12" spans="1:2" ht="29" x14ac:dyDescent="0.3">
      <c r="A12" s="53" t="s">
        <v>47</v>
      </c>
    </row>
    <row r="13" spans="1:2" s="48" customFormat="1" ht="28" customHeight="1" x14ac:dyDescent="0.35">
      <c r="A13" s="56" t="s">
        <v>48</v>
      </c>
    </row>
    <row r="14" spans="1:2" s="51" customFormat="1" ht="26" x14ac:dyDescent="0.6">
      <c r="A14" s="52" t="s">
        <v>49</v>
      </c>
    </row>
    <row r="15" spans="1:2" ht="75" customHeight="1" x14ac:dyDescent="0.3">
      <c r="A15" s="53" t="s">
        <v>50</v>
      </c>
    </row>
    <row r="16" spans="1:2" ht="72.5" x14ac:dyDescent="0.3">
      <c r="A16" s="53" t="s">
        <v>51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2025-10-03T09:06:32Z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2021-10-01T11:59:58Z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748b7158-7ac6-4baa-a29d-aaee54a35113</vt:lpwstr>
  </property>
  <property fmtid="{D5CDD505-2E9C-101B-9397-08002B2CF9AE}" pid="8" name="MSIP_Label_10d9bad3-6dac-4e9a-89a3-89f3b8d247b2_ContentBits">
    <vt:lpwstr>0</vt:lpwstr>
  </property>
</Properties>
</file>