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5F30FA55-09AF-43B4-87B6-BEA6DF7D0E84}" xr6:coauthVersionLast="47" xr6:coauthVersionMax="47" xr10:uidLastSave="{00000000-0000-0000-0000-000000000000}"/>
  <bookViews>
    <workbookView xWindow="0" yWindow="0" windowWidth="19200" windowHeight="1128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1" l="1"/>
  <c r="E11" i="11"/>
  <c r="E16" i="11"/>
  <c r="F15" i="11"/>
  <c r="H15" i="11" s="1"/>
  <c r="H14" i="11"/>
  <c r="H16" i="11"/>
  <c r="H30" i="11"/>
  <c r="I5" i="11"/>
  <c r="E19" i="11"/>
  <c r="E21" i="11" s="1"/>
  <c r="F21" i="11" s="1"/>
  <c r="H7" i="11"/>
  <c r="F19" i="11" l="1"/>
  <c r="E9" i="11"/>
  <c r="H36" i="11"/>
  <c r="H35" i="11"/>
  <c r="H34" i="11"/>
  <c r="H33" i="11"/>
  <c r="H32" i="11"/>
  <c r="H31" i="11"/>
  <c r="H29" i="11"/>
  <c r="H23" i="11"/>
  <c r="H17" i="11"/>
  <c r="H8" i="11"/>
  <c r="E24" i="11" l="1"/>
  <c r="F24" i="11" s="1"/>
  <c r="E25" i="11" s="1"/>
  <c r="F25" i="11" s="1"/>
  <c r="H25" i="11" s="1"/>
  <c r="F9" i="11"/>
  <c r="E10" i="11" s="1"/>
  <c r="F10" i="11" s="1"/>
  <c r="E12" i="11" s="1"/>
  <c r="F12" i="11" s="1"/>
  <c r="E13" i="11" s="1"/>
  <c r="H24" i="11"/>
  <c r="H9" i="11"/>
  <c r="E26" i="11"/>
  <c r="F26" i="11" s="1"/>
  <c r="E18" i="11"/>
  <c r="E20" i="11" s="1"/>
  <c r="F13" i="11" l="1"/>
  <c r="H13" i="11"/>
  <c r="E22" i="11"/>
  <c r="F22" i="11" s="1"/>
  <c r="F20" i="11"/>
  <c r="E28" i="11"/>
  <c r="H10" i="11"/>
  <c r="E27" i="11"/>
  <c r="H26" i="11"/>
  <c r="F18" i="11"/>
  <c r="H18" i="11" s="1"/>
  <c r="J5" i="11"/>
  <c r="K5" i="11" s="1"/>
  <c r="L5" i="11" s="1"/>
  <c r="F28" i="11" l="1"/>
  <c r="H28" i="11"/>
  <c r="M5" i="11"/>
  <c r="I4" i="11" s="1"/>
  <c r="F27" i="11"/>
  <c r="H27" i="11" s="1"/>
  <c r="H19" i="11"/>
  <c r="H11" i="11"/>
  <c r="H12" i="11"/>
  <c r="N5" i="11" l="1"/>
  <c r="O5" i="11" s="1"/>
  <c r="P5" i="11" s="1"/>
  <c r="Q5" i="11" s="1"/>
  <c r="R5" i="11" s="1"/>
  <c r="S5" i="11" s="1"/>
  <c r="T5" i="11" s="1"/>
  <c r="H22" i="11"/>
  <c r="H21" i="11"/>
  <c r="H20" i="11"/>
  <c r="U5" i="11" l="1"/>
  <c r="V5" i="11" s="1"/>
  <c r="W5" i="11" s="1"/>
  <c r="X5" i="11" s="1"/>
  <c r="Y5" i="11" s="1"/>
  <c r="Z5" i="11" s="1"/>
  <c r="AA5" i="11" s="1"/>
  <c r="P4" i="11"/>
  <c r="AB5" i="11" l="1"/>
  <c r="AC5" i="11" s="1"/>
  <c r="AD5" i="11" s="1"/>
  <c r="AE5" i="11" s="1"/>
  <c r="AF5" i="11" s="1"/>
  <c r="AG5" i="11" s="1"/>
  <c r="AH5" i="11" s="1"/>
  <c r="W4" i="11"/>
  <c r="AI5" i="11" l="1"/>
  <c r="AJ5" i="11" s="1"/>
  <c r="AK5" i="11" s="1"/>
  <c r="AL5" i="11" s="1"/>
  <c r="AM5" i="11" s="1"/>
  <c r="AN5" i="11" s="1"/>
  <c r="AO5" i="11" s="1"/>
  <c r="AD4" i="11"/>
  <c r="AP5" i="11" l="1"/>
  <c r="AQ5" i="11" s="1"/>
  <c r="AR5" i="11" s="1"/>
  <c r="AS5" i="11" s="1"/>
  <c r="AT5" i="11" s="1"/>
  <c r="AK4" i="11"/>
  <c r="AU5" i="11" l="1"/>
  <c r="AV5" i="11" l="1"/>
  <c r="AR4" i="11" s="1"/>
  <c r="AW5" i="11" l="1"/>
  <c r="AX5" i="11" l="1"/>
  <c r="AY5" i="11" s="1"/>
  <c r="AZ5" i="11" l="1"/>
  <c r="BA5" i="11" l="1"/>
  <c r="BB5" i="11" l="1"/>
  <c r="BC5" i="11" l="1"/>
  <c r="AY4" i="11" s="1"/>
  <c r="BD5" i="11" l="1"/>
  <c r="BE5" i="11" l="1"/>
  <c r="BF5" i="11" l="1"/>
  <c r="BG5" i="11" l="1"/>
  <c r="BH5" i="11" l="1"/>
  <c r="BI5" i="11" l="1"/>
  <c r="BJ5" i="11" l="1"/>
  <c r="BF4" i="11" s="1"/>
  <c r="BK5" i="11" l="1"/>
  <c r="BL5" i="11" l="1"/>
  <c r="BM5" i="11" s="1"/>
  <c r="BN5" i="11" l="1"/>
  <c r="BO5" i="11" l="1"/>
  <c r="BP5" i="11" l="1"/>
  <c r="BQ5" i="11" l="1"/>
  <c r="BM4" i="11" s="1"/>
  <c r="BR5" i="11" l="1"/>
  <c r="BS5" i="11" l="1"/>
  <c r="BT5" i="11" l="1"/>
  <c r="BU5" i="11" l="1"/>
  <c r="BV5" i="11" l="1"/>
  <c r="BW5" i="11" l="1"/>
  <c r="BX5" i="11" l="1"/>
  <c r="BT4" i="11" s="1"/>
  <c r="BY5" i="11" l="1"/>
  <c r="BZ5" i="11" l="1"/>
  <c r="CA5" i="11" l="1"/>
  <c r="CB5" i="11" l="1"/>
  <c r="CC5" i="11" l="1"/>
  <c r="CD5" i="11" l="1"/>
  <c r="CE5" i="11" l="1"/>
  <c r="CA4" i="11" s="1"/>
  <c r="CF5" i="11" l="1"/>
  <c r="CG5" i="11" l="1"/>
  <c r="CH5" i="11" l="1"/>
  <c r="CI5" i="11" l="1"/>
  <c r="CJ5" i="11" l="1"/>
  <c r="CK5" i="11" l="1"/>
  <c r="CL5" i="11" l="1"/>
  <c r="CH4" i="11" s="1"/>
  <c r="CM5" i="11" l="1"/>
  <c r="CN5" i="11" l="1"/>
  <c r="CO5" i="11" l="1"/>
  <c r="CP5" i="11" l="1"/>
  <c r="CQ5" i="11" l="1"/>
  <c r="CR5" i="11" l="1"/>
  <c r="CS5" i="11" l="1"/>
  <c r="CO4" i="11" s="1"/>
  <c r="CT5" i="11" l="1"/>
  <c r="CU5" i="11" l="1"/>
</calcChain>
</file>

<file path=xl/sharedStrings.xml><?xml version="1.0" encoding="utf-8"?>
<sst xmlns="http://schemas.openxmlformats.org/spreadsheetml/2006/main" count="177" uniqueCount="66">
  <si>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</si>
  <si>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AUDIO BOARD (HS25)</t>
  </si>
  <si>
    <t>Enter Company Name in cell B2.</t>
  </si>
  <si>
    <t>Enter the name of the Project Lead in cell B3. Enter the Project Start date in cell E3. Pooject Start: label is in cell C3.</t>
  </si>
  <si>
    <t>Project Start:</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</si>
  <si>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</si>
  <si>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Display Week:</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</si>
  <si>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</si>
  <si>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</si>
  <si>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TASK</t>
  </si>
  <si>
    <t>ASSIGNED
TO</t>
  </si>
  <si>
    <t>PROGRESS</t>
  </si>
  <si>
    <t>START</t>
  </si>
  <si>
    <t>END</t>
  </si>
  <si>
    <t>DAYS</t>
  </si>
  <si>
    <t>M</t>
  </si>
  <si>
    <t>T</t>
  </si>
  <si>
    <t>W</t>
  </si>
  <si>
    <t>F</t>
  </si>
  <si>
    <t>S</t>
  </si>
  <si>
    <t xml:space="preserve">Do not delete this row. This row is hidden to preserve a formula that is used to highlight the curren day within the project schedule. </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</si>
  <si>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</si>
  <si>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</si>
  <si>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</si>
  <si>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Task 3</t>
  </si>
  <si>
    <t>Task 4</t>
  </si>
  <si>
    <t>Task 5</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</si>
  <si>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</si>
  <si>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Task 1</t>
  </si>
  <si>
    <t>Task 2</t>
  </si>
  <si>
    <t>Sample phase title block</t>
  </si>
  <si>
    <t>Phase 3 Title</t>
  </si>
  <si>
    <t>Phase 4 Title</t>
  </si>
  <si>
    <t>date</t>
  </si>
  <si>
    <t>This is an empty row</t>
  </si>
  <si>
    <t>This row marks the end of the Project Schedule. DO NOT enter anything in this row. 
Insert new rows ABOVE this one to continue building out your Project Schedule.</t>
  </si>
  <si>
    <t>Insert new rows ABOVE this one</t>
  </si>
  <si>
    <t>SIMPLE GANTT CHART by Vertex42.com</t>
  </si>
  <si>
    <t>https://www.vertex42.com/ExcelTemplates/simple-gantt-chart.html</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</si>
  <si>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</si>
  <si>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</si>
  <si>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</si>
  <si>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</si>
  <si>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</si>
  <si>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</si>
  <si>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</si>
  <si>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</si>
  <si>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</si>
  <si>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</si>
  <si>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</si>
  <si>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</si>
  <si>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</si>
  <si>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Phase 1: HW Development</t>
  </si>
  <si>
    <t>PCB Layout</t>
  </si>
  <si>
    <t>LTspice Simulation</t>
  </si>
  <si>
    <t>Assembly</t>
  </si>
  <si>
    <t>Schematic Design</t>
  </si>
  <si>
    <t>HW Report</t>
  </si>
  <si>
    <t>HW Demo</t>
  </si>
  <si>
    <t>Testing (+ Report)</t>
  </si>
  <si>
    <t>Thomas, Bogdan</t>
  </si>
  <si>
    <t>Bogdan</t>
  </si>
  <si>
    <t>Thomas</t>
  </si>
  <si>
    <t>Submit HW Report</t>
  </si>
  <si>
    <t>Phase 2: FW Development</t>
  </si>
  <si>
    <t>Thomas Perri &amp; Bogdans Grebnevs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</si>
</sst>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_(* \(#,##0.00\);_(* &quot;-&quot;??_);_(@_)"/>
    <numFmt numFmtId="165" formatCode="m/d/yy;@"/>
    <numFmt numFmtId="166" formatCode="ddd\,\ m/d/yyyy"/>
    <numFmt numFmtId="167" formatCode="mmm\ d\,\ yyyy"/>
    <numFmt numFmtId="168" formatCode="d"/>
    <numFmt numFmtId="169" formatCode="yyyy\-mm\-dd;@"/>
  </numFmts>
  <fonts count="24"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sz val="11"/>
      <color rgb="FFFF0000"/>
      <name val="Calibri"/>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s>
  <borders count="1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s>
  <cellStyleXfs count="1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4"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cellStyleXfs>
  <cellXfs count="9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168" fontId="11" fillId="7" borderId="0" xfId="0" applyNumberFormat="1" applyFont="1" applyFill="1" applyAlignment="1">
      <alignment horizontal="center" vertical="center"/>
    </xf>
    <xf numFmtId="168" fontId="11" fillId="7" borderId="6"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165" fontId="0" fillId="5" borderId="2" xfId="0" applyNumberFormat="1" applyFill="1" applyBorder="1" applyAlignment="1">
      <alignment horizontal="center" vertical="center"/>
    </xf>
    <xf numFmtId="165" fontId="5" fillId="5" borderId="2" xfId="0" applyNumberFormat="1"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15" fillId="0" borderId="0" xfId="1" applyFont="1" applyProtection="1">
      <alignment vertical="top"/>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165" fontId="9" fillId="11" borderId="2" xfId="10" applyFill="1">
      <alignment horizontal="center" vertical="center"/>
    </xf>
    <xf numFmtId="165" fontId="9" fillId="10" borderId="2" xfId="10" applyFill="1">
      <alignment horizontal="center" vertical="center"/>
    </xf>
    <xf numFmtId="165" fontId="9" fillId="0" borderId="2" xfId="10">
      <alignment horizontal="center" vertical="center"/>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169" fontId="9" fillId="3" borderId="2" xfId="10" applyNumberFormat="1" applyFill="1">
      <alignment horizontal="center" vertical="center"/>
    </xf>
    <xf numFmtId="169" fontId="9" fillId="4" borderId="2" xfId="10" applyNumberFormat="1" applyFill="1">
      <alignment horizontal="center" vertical="center"/>
    </xf>
    <xf numFmtId="169" fontId="23" fillId="3" borderId="2" xfId="10" applyNumberFormat="1" applyFont="1" applyFill="1">
      <alignment horizontal="center" vertical="center"/>
    </xf>
    <xf numFmtId="0" fontId="23" fillId="3" borderId="2" xfId="12" applyFont="1" applyFill="1">
      <alignment horizontal="left" vertical="center" indent="2"/>
    </xf>
    <xf numFmtId="169" fontId="5" fillId="3" borderId="2" xfId="10" applyNumberFormat="1" applyFont="1" applyFill="1">
      <alignment horizontal="center" vertical="center"/>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14" fontId="9" fillId="0" borderId="3" xfId="9" applyNumberFormat="1">
      <alignment horizontal="center" vertical="center"/>
    </xf>
    <xf numFmtId="0" fontId="9" fillId="0" borderId="0" xfId="8">
      <alignment horizontal="right" indent="1"/>
    </xf>
    <xf numFmtId="0" fontId="9" fillId="0" borderId="7" xfId="8" applyBorder="1">
      <alignment horizontal="right" indent="1"/>
    </xf>
    <xf numFmtId="0" fontId="0" fillId="0" borderId="10" xfId="0" applyBorder="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3">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U39"/>
  <sheetViews>
    <sheetView showGridLines="0" tabSelected="1" showRuler="0" zoomScale="80" zoomScaleNormal="80" zoomScalePageLayoutView="70" workbookViewId="0">
      <pane ySplit="6" topLeftCell="A8" activePane="bottomLeft" state="frozen"/>
      <selection pane="bottomLeft" activeCell="B3" sqref="B3"/>
    </sheetView>
  </sheetViews>
  <sheetFormatPr defaultColWidth="8.7265625" defaultRowHeight="30" customHeight="1" x14ac:dyDescent="0.35"/>
  <cols>
    <col min="1" max="1" width="2.7265625" style="58" customWidth="1"/>
    <col min="2" max="2" width="19.81640625" customWidth="1"/>
    <col min="3" max="3" width="30.7265625" customWidth="1"/>
    <col min="4" max="4" width="10.7265625" customWidth="1"/>
    <col min="5" max="5" width="10.453125" style="5" customWidth="1"/>
    <col min="6" max="6" width="10.453125" customWidth="1"/>
    <col min="7" max="7" width="2.7265625" customWidth="1"/>
    <col min="8" max="8" width="6.1796875" customWidth="1"/>
    <col min="9" max="99" width="2.453125" customWidth="1"/>
  </cols>
  <sheetData>
    <row r="1" spans="1:99" ht="30" customHeight="1" x14ac:dyDescent="0.65">
      <c r="A1" s="59" t="s">
        <v>0</v>
      </c>
      <c r="B1" s="63" t="s">
        <v>1</v>
      </c>
      <c r="C1" s="1"/>
      <c r="D1" s="2"/>
      <c r="E1" s="4"/>
      <c r="F1" s="47"/>
      <c r="H1" s="2"/>
      <c r="I1" s="14"/>
    </row>
    <row r="2" spans="1:99" ht="30" customHeight="1" x14ac:dyDescent="0.45">
      <c r="A2" s="58" t="s">
        <v>2</v>
      </c>
      <c r="B2" s="64" t="s">
        <v>65</v>
      </c>
      <c r="I2" s="61"/>
    </row>
    <row r="3" spans="1:99" ht="30" customHeight="1" x14ac:dyDescent="0.35">
      <c r="A3" s="58" t="s">
        <v>3</v>
      </c>
      <c r="B3" s="65"/>
      <c r="C3" s="92" t="s">
        <v>4</v>
      </c>
      <c r="D3" s="93"/>
      <c r="E3" s="91">
        <v>45919</v>
      </c>
      <c r="F3" s="91"/>
    </row>
    <row r="4" spans="1:99" ht="30" customHeight="1" x14ac:dyDescent="0.35">
      <c r="A4" s="59" t="s">
        <v>5</v>
      </c>
      <c r="C4" s="92" t="s">
        <v>6</v>
      </c>
      <c r="D4" s="93"/>
      <c r="E4" s="7">
        <v>1</v>
      </c>
      <c r="I4" s="88">
        <f>M5</f>
        <v>45919</v>
      </c>
      <c r="J4" s="89"/>
      <c r="K4" s="89"/>
      <c r="L4" s="89"/>
      <c r="M4" s="89"/>
      <c r="N4" s="89"/>
      <c r="O4" s="90"/>
      <c r="P4" s="88">
        <f>T5</f>
        <v>45926</v>
      </c>
      <c r="Q4" s="89"/>
      <c r="R4" s="89"/>
      <c r="S4" s="89"/>
      <c r="T4" s="89"/>
      <c r="U4" s="89"/>
      <c r="V4" s="90"/>
      <c r="W4" s="88">
        <f t="shared" ref="W4" si="0">AA5</f>
        <v>45933</v>
      </c>
      <c r="X4" s="89"/>
      <c r="Y4" s="89"/>
      <c r="Z4" s="89"/>
      <c r="AA4" s="89"/>
      <c r="AB4" s="89"/>
      <c r="AC4" s="90"/>
      <c r="AD4" s="88">
        <f t="shared" ref="AD4" si="1">AH5</f>
        <v>45940</v>
      </c>
      <c r="AE4" s="89"/>
      <c r="AF4" s="89"/>
      <c r="AG4" s="89"/>
      <c r="AH4" s="89"/>
      <c r="AI4" s="89"/>
      <c r="AJ4" s="90"/>
      <c r="AK4" s="88">
        <f t="shared" ref="AK4" si="2">AO5</f>
        <v>45947</v>
      </c>
      <c r="AL4" s="89"/>
      <c r="AM4" s="89"/>
      <c r="AN4" s="89"/>
      <c r="AO4" s="89"/>
      <c r="AP4" s="89"/>
      <c r="AQ4" s="90"/>
      <c r="AR4" s="88">
        <f t="shared" ref="AR4" si="3">AV5</f>
        <v>45954</v>
      </c>
      <c r="AS4" s="89"/>
      <c r="AT4" s="89"/>
      <c r="AU4" s="89"/>
      <c r="AV4" s="89"/>
      <c r="AW4" s="89"/>
      <c r="AX4" s="90"/>
      <c r="AY4" s="88">
        <f t="shared" ref="AY4" si="4">BC5</f>
        <v>45961</v>
      </c>
      <c r="AZ4" s="89"/>
      <c r="BA4" s="89"/>
      <c r="BB4" s="89"/>
      <c r="BC4" s="89"/>
      <c r="BD4" s="89"/>
      <c r="BE4" s="90"/>
      <c r="BF4" s="88">
        <f t="shared" ref="BF4" si="5">BJ5</f>
        <v>45968</v>
      </c>
      <c r="BG4" s="89"/>
      <c r="BH4" s="89"/>
      <c r="BI4" s="89"/>
      <c r="BJ4" s="89"/>
      <c r="BK4" s="89"/>
      <c r="BL4" s="90"/>
      <c r="BM4" s="88">
        <f t="shared" ref="BM4" si="6">BQ5</f>
        <v>45975</v>
      </c>
      <c r="BN4" s="89"/>
      <c r="BO4" s="89"/>
      <c r="BP4" s="89"/>
      <c r="BQ4" s="89"/>
      <c r="BR4" s="89"/>
      <c r="BS4" s="90"/>
      <c r="BT4" s="88">
        <f t="shared" ref="BT4" si="7">BX5</f>
        <v>45982</v>
      </c>
      <c r="BU4" s="89"/>
      <c r="BV4" s="89"/>
      <c r="BW4" s="89"/>
      <c r="BX4" s="89"/>
      <c r="BY4" s="89"/>
      <c r="BZ4" s="90"/>
      <c r="CA4" s="88">
        <f t="shared" ref="CA4" si="8">CE5</f>
        <v>45989</v>
      </c>
      <c r="CB4" s="89"/>
      <c r="CC4" s="89"/>
      <c r="CD4" s="89"/>
      <c r="CE4" s="89"/>
      <c r="CF4" s="89"/>
      <c r="CG4" s="90"/>
      <c r="CH4" s="88">
        <f t="shared" ref="CH4" si="9">CL5</f>
        <v>45996</v>
      </c>
      <c r="CI4" s="89"/>
      <c r="CJ4" s="89"/>
      <c r="CK4" s="89"/>
      <c r="CL4" s="89"/>
      <c r="CM4" s="89"/>
      <c r="CN4" s="90"/>
      <c r="CO4" s="88">
        <f>CS5</f>
        <v>46003</v>
      </c>
      <c r="CP4" s="89"/>
      <c r="CQ4" s="89"/>
      <c r="CR4" s="89"/>
      <c r="CS4" s="89"/>
      <c r="CT4" s="89"/>
      <c r="CU4" s="90"/>
    </row>
    <row r="5" spans="1:99" ht="15" customHeight="1" x14ac:dyDescent="0.35">
      <c r="A5" s="59" t="s">
        <v>7</v>
      </c>
      <c r="B5" s="94"/>
      <c r="C5" s="94"/>
      <c r="D5" s="94"/>
      <c r="E5" s="94"/>
      <c r="F5" s="94"/>
      <c r="G5" s="94"/>
      <c r="I5" s="11">
        <f>Project_Start-WEEKDAY(Project_Start,1)+2+7*(Display_Week-1)</f>
        <v>45915</v>
      </c>
      <c r="J5" s="10">
        <f>I5+1</f>
        <v>45916</v>
      </c>
      <c r="K5" s="10">
        <f t="shared" ref="K5:AX5" si="10">J5+1</f>
        <v>45917</v>
      </c>
      <c r="L5" s="10">
        <f t="shared" si="10"/>
        <v>45918</v>
      </c>
      <c r="M5" s="10">
        <f t="shared" si="10"/>
        <v>45919</v>
      </c>
      <c r="N5" s="10">
        <f t="shared" si="10"/>
        <v>45920</v>
      </c>
      <c r="O5" s="12">
        <f t="shared" si="10"/>
        <v>45921</v>
      </c>
      <c r="P5" s="11">
        <f>O5+1</f>
        <v>45922</v>
      </c>
      <c r="Q5" s="10">
        <f>P5+1</f>
        <v>45923</v>
      </c>
      <c r="R5" s="10">
        <f t="shared" si="10"/>
        <v>45924</v>
      </c>
      <c r="S5" s="10">
        <f t="shared" si="10"/>
        <v>45925</v>
      </c>
      <c r="T5" s="10">
        <f t="shared" si="10"/>
        <v>45926</v>
      </c>
      <c r="U5" s="10">
        <f t="shared" si="10"/>
        <v>45927</v>
      </c>
      <c r="V5" s="12">
        <f t="shared" si="10"/>
        <v>45928</v>
      </c>
      <c r="W5" s="11">
        <f>V5+1</f>
        <v>45929</v>
      </c>
      <c r="X5" s="10">
        <f>W5+1</f>
        <v>45930</v>
      </c>
      <c r="Y5" s="10">
        <f t="shared" si="10"/>
        <v>45931</v>
      </c>
      <c r="Z5" s="10">
        <f t="shared" si="10"/>
        <v>45932</v>
      </c>
      <c r="AA5" s="10">
        <f t="shared" si="10"/>
        <v>45933</v>
      </c>
      <c r="AB5" s="10">
        <f t="shared" si="10"/>
        <v>45934</v>
      </c>
      <c r="AC5" s="12">
        <f t="shared" si="10"/>
        <v>45935</v>
      </c>
      <c r="AD5" s="11">
        <f>AC5+1</f>
        <v>45936</v>
      </c>
      <c r="AE5" s="10">
        <f>AD5+1</f>
        <v>45937</v>
      </c>
      <c r="AF5" s="10">
        <f t="shared" si="10"/>
        <v>45938</v>
      </c>
      <c r="AG5" s="10">
        <f t="shared" si="10"/>
        <v>45939</v>
      </c>
      <c r="AH5" s="10">
        <f t="shared" si="10"/>
        <v>45940</v>
      </c>
      <c r="AI5" s="10">
        <f t="shared" si="10"/>
        <v>45941</v>
      </c>
      <c r="AJ5" s="12">
        <f t="shared" si="10"/>
        <v>45942</v>
      </c>
      <c r="AK5" s="11">
        <f>AJ5+1</f>
        <v>45943</v>
      </c>
      <c r="AL5" s="10">
        <f>AK5+1</f>
        <v>45944</v>
      </c>
      <c r="AM5" s="10">
        <f t="shared" si="10"/>
        <v>45945</v>
      </c>
      <c r="AN5" s="10">
        <f t="shared" si="10"/>
        <v>45946</v>
      </c>
      <c r="AO5" s="10">
        <f t="shared" si="10"/>
        <v>45947</v>
      </c>
      <c r="AP5" s="10">
        <f t="shared" si="10"/>
        <v>45948</v>
      </c>
      <c r="AQ5" s="12">
        <f t="shared" si="10"/>
        <v>45949</v>
      </c>
      <c r="AR5" s="11">
        <f>AQ5+1</f>
        <v>45950</v>
      </c>
      <c r="AS5" s="10">
        <f>AR5+1</f>
        <v>45951</v>
      </c>
      <c r="AT5" s="10">
        <f t="shared" si="10"/>
        <v>45952</v>
      </c>
      <c r="AU5" s="10">
        <f t="shared" si="10"/>
        <v>45953</v>
      </c>
      <c r="AV5" s="10">
        <f t="shared" si="10"/>
        <v>45954</v>
      </c>
      <c r="AW5" s="10">
        <f t="shared" si="10"/>
        <v>45955</v>
      </c>
      <c r="AX5" s="12">
        <f t="shared" si="10"/>
        <v>45956</v>
      </c>
      <c r="AY5" s="11">
        <f>AX5+1</f>
        <v>45957</v>
      </c>
      <c r="AZ5" s="10">
        <f>AY5+1</f>
        <v>45958</v>
      </c>
      <c r="BA5" s="10">
        <f t="shared" ref="BA5:BE5" si="11">AZ5+1</f>
        <v>45959</v>
      </c>
      <c r="BB5" s="10">
        <f t="shared" si="11"/>
        <v>45960</v>
      </c>
      <c r="BC5" s="10">
        <f t="shared" si="11"/>
        <v>45961</v>
      </c>
      <c r="BD5" s="10">
        <f t="shared" si="11"/>
        <v>45962</v>
      </c>
      <c r="BE5" s="12">
        <f t="shared" si="11"/>
        <v>45963</v>
      </c>
      <c r="BF5" s="11">
        <f>BE5+1</f>
        <v>45964</v>
      </c>
      <c r="BG5" s="10">
        <f>BF5+1</f>
        <v>45965</v>
      </c>
      <c r="BH5" s="10">
        <f t="shared" ref="BH5:BL5" si="12">BG5+1</f>
        <v>45966</v>
      </c>
      <c r="BI5" s="10">
        <f t="shared" si="12"/>
        <v>45967</v>
      </c>
      <c r="BJ5" s="10">
        <f t="shared" si="12"/>
        <v>45968</v>
      </c>
      <c r="BK5" s="10">
        <f t="shared" si="12"/>
        <v>45969</v>
      </c>
      <c r="BL5" s="12">
        <f t="shared" si="12"/>
        <v>45970</v>
      </c>
      <c r="BM5" s="12">
        <f t="shared" ref="BM5" si="13">BL5+1</f>
        <v>45971</v>
      </c>
      <c r="BN5" s="12">
        <f t="shared" ref="BN5" si="14">BM5+1</f>
        <v>45972</v>
      </c>
      <c r="BO5" s="12">
        <f t="shared" ref="BO5" si="15">BN5+1</f>
        <v>45973</v>
      </c>
      <c r="BP5" s="12">
        <f t="shared" ref="BP5" si="16">BO5+1</f>
        <v>45974</v>
      </c>
      <c r="BQ5" s="12">
        <f t="shared" ref="BQ5" si="17">BP5+1</f>
        <v>45975</v>
      </c>
      <c r="BR5" s="12">
        <f t="shared" ref="BR5" si="18">BQ5+1</f>
        <v>45976</v>
      </c>
      <c r="BS5" s="12">
        <f t="shared" ref="BS5" si="19">BR5+1</f>
        <v>45977</v>
      </c>
      <c r="BT5" s="12">
        <f t="shared" ref="BT5" si="20">BS5+1</f>
        <v>45978</v>
      </c>
      <c r="BU5" s="12">
        <f t="shared" ref="BU5" si="21">BT5+1</f>
        <v>45979</v>
      </c>
      <c r="BV5" s="12">
        <f t="shared" ref="BV5" si="22">BU5+1</f>
        <v>45980</v>
      </c>
      <c r="BW5" s="12">
        <f t="shared" ref="BW5" si="23">BV5+1</f>
        <v>45981</v>
      </c>
      <c r="BX5" s="12">
        <f t="shared" ref="BX5" si="24">BW5+1</f>
        <v>45982</v>
      </c>
      <c r="BY5" s="12">
        <f t="shared" ref="BY5" si="25">BX5+1</f>
        <v>45983</v>
      </c>
      <c r="BZ5" s="12">
        <f t="shared" ref="BZ5" si="26">BY5+1</f>
        <v>45984</v>
      </c>
      <c r="CA5" s="12">
        <f t="shared" ref="CA5" si="27">BZ5+1</f>
        <v>45985</v>
      </c>
      <c r="CB5" s="12">
        <f t="shared" ref="CB5" si="28">CA5+1</f>
        <v>45986</v>
      </c>
      <c r="CC5" s="12">
        <f t="shared" ref="CC5" si="29">CB5+1</f>
        <v>45987</v>
      </c>
      <c r="CD5" s="12">
        <f t="shared" ref="CD5" si="30">CC5+1</f>
        <v>45988</v>
      </c>
      <c r="CE5" s="12">
        <f t="shared" ref="CE5" si="31">CD5+1</f>
        <v>45989</v>
      </c>
      <c r="CF5" s="12">
        <f t="shared" ref="CF5" si="32">CE5+1</f>
        <v>45990</v>
      </c>
      <c r="CG5" s="12">
        <f t="shared" ref="CG5" si="33">CF5+1</f>
        <v>45991</v>
      </c>
      <c r="CH5" s="12">
        <f t="shared" ref="CH5" si="34">CG5+1</f>
        <v>45992</v>
      </c>
      <c r="CI5" s="12">
        <f t="shared" ref="CI5" si="35">CH5+1</f>
        <v>45993</v>
      </c>
      <c r="CJ5" s="12">
        <f t="shared" ref="CJ5" si="36">CI5+1</f>
        <v>45994</v>
      </c>
      <c r="CK5" s="12">
        <f t="shared" ref="CK5" si="37">CJ5+1</f>
        <v>45995</v>
      </c>
      <c r="CL5" s="12">
        <f t="shared" ref="CL5" si="38">CK5+1</f>
        <v>45996</v>
      </c>
      <c r="CM5" s="12">
        <f t="shared" ref="CM5" si="39">CL5+1</f>
        <v>45997</v>
      </c>
      <c r="CN5" s="12">
        <f t="shared" ref="CN5" si="40">CM5+1</f>
        <v>45998</v>
      </c>
      <c r="CO5" s="12">
        <f t="shared" ref="CO5" si="41">CN5+1</f>
        <v>45999</v>
      </c>
      <c r="CP5" s="12">
        <f t="shared" ref="CP5" si="42">CO5+1</f>
        <v>46000</v>
      </c>
      <c r="CQ5" s="12">
        <f t="shared" ref="CQ5" si="43">CP5+1</f>
        <v>46001</v>
      </c>
      <c r="CR5" s="12">
        <f t="shared" ref="CR5" si="44">CQ5+1</f>
        <v>46002</v>
      </c>
      <c r="CS5" s="12">
        <f t="shared" ref="CS5" si="45">CR5+1</f>
        <v>46003</v>
      </c>
      <c r="CT5" s="12">
        <f t="shared" ref="CT5" si="46">CS5+1</f>
        <v>46004</v>
      </c>
      <c r="CU5" s="12">
        <f t="shared" ref="CU5" si="47">CT5+1</f>
        <v>46005</v>
      </c>
    </row>
    <row r="6" spans="1:99" ht="30" customHeight="1" thickBot="1" x14ac:dyDescent="0.4">
      <c r="A6" s="59" t="s">
        <v>8</v>
      </c>
      <c r="B6" s="8" t="s">
        <v>9</v>
      </c>
      <c r="C6" s="9" t="s">
        <v>10</v>
      </c>
      <c r="D6" s="9" t="s">
        <v>11</v>
      </c>
      <c r="E6" s="9" t="s">
        <v>12</v>
      </c>
      <c r="F6" s="9" t="s">
        <v>13</v>
      </c>
      <c r="G6" s="9"/>
      <c r="H6" s="9" t="s">
        <v>14</v>
      </c>
      <c r="I6" s="13" t="s">
        <v>15</v>
      </c>
      <c r="J6" s="13" t="s">
        <v>16</v>
      </c>
      <c r="K6" s="13" t="s">
        <v>17</v>
      </c>
      <c r="L6" s="13" t="s">
        <v>16</v>
      </c>
      <c r="M6" s="13" t="s">
        <v>18</v>
      </c>
      <c r="N6" s="13" t="s">
        <v>19</v>
      </c>
      <c r="O6" s="13" t="s">
        <v>19</v>
      </c>
      <c r="P6" s="13" t="s">
        <v>15</v>
      </c>
      <c r="Q6" s="13" t="s">
        <v>16</v>
      </c>
      <c r="R6" s="13" t="s">
        <v>17</v>
      </c>
      <c r="S6" s="13" t="s">
        <v>16</v>
      </c>
      <c r="T6" s="13" t="s">
        <v>18</v>
      </c>
      <c r="U6" s="13" t="s">
        <v>19</v>
      </c>
      <c r="V6" s="13" t="s">
        <v>19</v>
      </c>
      <c r="W6" s="13" t="s">
        <v>15</v>
      </c>
      <c r="X6" s="13" t="s">
        <v>16</v>
      </c>
      <c r="Y6" s="13" t="s">
        <v>17</v>
      </c>
      <c r="Z6" s="13" t="s">
        <v>16</v>
      </c>
      <c r="AA6" s="13" t="s">
        <v>18</v>
      </c>
      <c r="AB6" s="13" t="s">
        <v>19</v>
      </c>
      <c r="AC6" s="13" t="s">
        <v>19</v>
      </c>
      <c r="AD6" s="13" t="s">
        <v>15</v>
      </c>
      <c r="AE6" s="13" t="s">
        <v>16</v>
      </c>
      <c r="AF6" s="13" t="s">
        <v>17</v>
      </c>
      <c r="AG6" s="13" t="s">
        <v>16</v>
      </c>
      <c r="AH6" s="13" t="s">
        <v>18</v>
      </c>
      <c r="AI6" s="13" t="s">
        <v>19</v>
      </c>
      <c r="AJ6" s="13" t="s">
        <v>19</v>
      </c>
      <c r="AK6" s="13" t="s">
        <v>15</v>
      </c>
      <c r="AL6" s="13" t="s">
        <v>16</v>
      </c>
      <c r="AM6" s="13" t="s">
        <v>17</v>
      </c>
      <c r="AN6" s="13" t="s">
        <v>16</v>
      </c>
      <c r="AO6" s="13" t="s">
        <v>18</v>
      </c>
      <c r="AP6" s="13" t="s">
        <v>19</v>
      </c>
      <c r="AQ6" s="13" t="s">
        <v>19</v>
      </c>
      <c r="AR6" s="13" t="s">
        <v>15</v>
      </c>
      <c r="AS6" s="13" t="s">
        <v>16</v>
      </c>
      <c r="AT6" s="13" t="s">
        <v>17</v>
      </c>
      <c r="AU6" s="13" t="s">
        <v>16</v>
      </c>
      <c r="AV6" s="13" t="s">
        <v>18</v>
      </c>
      <c r="AW6" s="13" t="s">
        <v>19</v>
      </c>
      <c r="AX6" s="13" t="s">
        <v>19</v>
      </c>
      <c r="AY6" s="13" t="s">
        <v>15</v>
      </c>
      <c r="AZ6" s="13" t="s">
        <v>16</v>
      </c>
      <c r="BA6" s="13" t="s">
        <v>17</v>
      </c>
      <c r="BB6" s="13" t="s">
        <v>16</v>
      </c>
      <c r="BC6" s="13" t="s">
        <v>18</v>
      </c>
      <c r="BD6" s="13" t="s">
        <v>19</v>
      </c>
      <c r="BE6" s="13" t="s">
        <v>19</v>
      </c>
      <c r="BF6" s="13" t="s">
        <v>15</v>
      </c>
      <c r="BG6" s="13" t="s">
        <v>16</v>
      </c>
      <c r="BH6" s="13" t="s">
        <v>17</v>
      </c>
      <c r="BI6" s="13" t="s">
        <v>16</v>
      </c>
      <c r="BJ6" s="13" t="s">
        <v>18</v>
      </c>
      <c r="BK6" s="13" t="s">
        <v>19</v>
      </c>
      <c r="BL6" s="13" t="s">
        <v>19</v>
      </c>
      <c r="BM6" s="13" t="s">
        <v>15</v>
      </c>
      <c r="BN6" s="13" t="s">
        <v>16</v>
      </c>
      <c r="BO6" s="13" t="s">
        <v>17</v>
      </c>
      <c r="BP6" s="13" t="s">
        <v>16</v>
      </c>
      <c r="BQ6" s="13" t="s">
        <v>18</v>
      </c>
      <c r="BR6" s="13" t="s">
        <v>19</v>
      </c>
      <c r="BS6" s="13" t="s">
        <v>19</v>
      </c>
      <c r="BT6" s="13" t="s">
        <v>15</v>
      </c>
      <c r="BU6" s="13" t="s">
        <v>16</v>
      </c>
      <c r="BV6" s="13" t="s">
        <v>17</v>
      </c>
      <c r="BW6" s="13" t="s">
        <v>16</v>
      </c>
      <c r="BX6" s="13" t="s">
        <v>18</v>
      </c>
      <c r="BY6" s="13" t="s">
        <v>19</v>
      </c>
      <c r="BZ6" s="13" t="s">
        <v>19</v>
      </c>
      <c r="CA6" s="13" t="s">
        <v>15</v>
      </c>
      <c r="CB6" s="13" t="s">
        <v>16</v>
      </c>
      <c r="CC6" s="13" t="s">
        <v>17</v>
      </c>
      <c r="CD6" s="13" t="s">
        <v>16</v>
      </c>
      <c r="CE6" s="13" t="s">
        <v>18</v>
      </c>
      <c r="CF6" s="13" t="s">
        <v>19</v>
      </c>
      <c r="CG6" s="13" t="s">
        <v>19</v>
      </c>
      <c r="CH6" s="13" t="s">
        <v>15</v>
      </c>
      <c r="CI6" s="13" t="s">
        <v>16</v>
      </c>
      <c r="CJ6" s="13" t="s">
        <v>17</v>
      </c>
      <c r="CK6" s="13" t="s">
        <v>16</v>
      </c>
      <c r="CL6" s="13" t="s">
        <v>18</v>
      </c>
      <c r="CM6" s="13" t="s">
        <v>19</v>
      </c>
      <c r="CN6" s="13" t="s">
        <v>19</v>
      </c>
      <c r="CO6" s="13" t="s">
        <v>15</v>
      </c>
      <c r="CP6" s="13" t="s">
        <v>16</v>
      </c>
      <c r="CQ6" s="13" t="s">
        <v>17</v>
      </c>
      <c r="CR6" s="13" t="s">
        <v>16</v>
      </c>
      <c r="CS6" s="13" t="s">
        <v>18</v>
      </c>
      <c r="CT6" s="13" t="s">
        <v>19</v>
      </c>
      <c r="CU6" s="13" t="s">
        <v>19</v>
      </c>
    </row>
    <row r="7" spans="1:99" ht="30" hidden="1" customHeight="1" thickBot="1" x14ac:dyDescent="0.4">
      <c r="A7" s="58" t="s">
        <v>20</v>
      </c>
      <c r="C7" s="62"/>
      <c r="E7"/>
      <c r="H7" t="str">
        <f>IF(OR(ISBLANK(task_start),ISBLANK(task_end)),"",task_end-task_start+1)</f>
        <v/>
      </c>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c r="AW7" s="44"/>
      <c r="AX7" s="44"/>
      <c r="AY7" s="44"/>
      <c r="AZ7" s="44"/>
      <c r="BA7" s="44"/>
      <c r="BB7" s="44"/>
      <c r="BC7" s="44"/>
      <c r="BD7" s="44"/>
      <c r="BE7" s="44"/>
      <c r="BF7" s="44"/>
      <c r="BG7" s="44"/>
      <c r="BH7" s="44"/>
      <c r="BI7" s="44"/>
      <c r="BJ7" s="44"/>
      <c r="BK7" s="44"/>
      <c r="BL7" s="44"/>
    </row>
    <row r="8" spans="1:99" s="3" customFormat="1" ht="30" customHeight="1" thickBot="1" x14ac:dyDescent="0.4">
      <c r="A8" s="59" t="s">
        <v>21</v>
      </c>
      <c r="B8" s="18" t="s">
        <v>52</v>
      </c>
      <c r="C8" s="69"/>
      <c r="D8" s="19"/>
      <c r="E8" s="20"/>
      <c r="F8" s="21"/>
      <c r="G8" s="17"/>
      <c r="H8" s="17" t="str">
        <f t="shared" ref="H8:H36" si="48">IF(OR(ISBLANK(task_start),ISBLANK(task_end)),"",task_end-task_start+1)</f>
        <v/>
      </c>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c r="AW8" s="44"/>
      <c r="AX8" s="44"/>
      <c r="AY8" s="44"/>
      <c r="AZ8" s="44"/>
      <c r="BA8" s="44"/>
      <c r="BB8" s="44"/>
      <c r="BC8" s="44"/>
      <c r="BD8" s="44"/>
      <c r="BE8" s="44"/>
      <c r="BF8" s="44"/>
      <c r="BG8" s="44"/>
      <c r="BH8" s="44"/>
      <c r="BI8" s="44"/>
      <c r="BJ8" s="44"/>
      <c r="BK8" s="44"/>
      <c r="BL8" s="44"/>
      <c r="BM8" s="44"/>
      <c r="BN8" s="44"/>
      <c r="BO8" s="44"/>
      <c r="BP8" s="44"/>
      <c r="BQ8" s="44"/>
      <c r="BR8" s="44"/>
      <c r="BS8" s="44"/>
      <c r="BT8" s="44"/>
      <c r="BU8" s="44"/>
      <c r="BV8" s="44"/>
      <c r="BW8" s="44"/>
      <c r="BX8" s="44"/>
      <c r="BY8" s="44"/>
      <c r="BZ8" s="44"/>
      <c r="CA8" s="44"/>
      <c r="CB8" s="44"/>
      <c r="CC8" s="44"/>
      <c r="CD8" s="44"/>
      <c r="CE8" s="44"/>
      <c r="CF8" s="44"/>
      <c r="CG8" s="44"/>
      <c r="CH8" s="44"/>
      <c r="CI8" s="44"/>
      <c r="CJ8" s="44"/>
      <c r="CK8" s="44"/>
      <c r="CL8" s="44"/>
      <c r="CM8" s="44"/>
      <c r="CN8" s="44"/>
      <c r="CO8" s="44"/>
      <c r="CP8" s="44"/>
      <c r="CQ8" s="44"/>
      <c r="CR8" s="44"/>
      <c r="CS8" s="44"/>
      <c r="CT8" s="44"/>
      <c r="CU8" s="44"/>
    </row>
    <row r="9" spans="1:99" s="3" customFormat="1" ht="30" customHeight="1" thickBot="1" x14ac:dyDescent="0.4">
      <c r="A9" s="59" t="s">
        <v>22</v>
      </c>
      <c r="B9" s="78" t="s">
        <v>56</v>
      </c>
      <c r="C9" s="70" t="s">
        <v>62</v>
      </c>
      <c r="D9" s="22">
        <v>0.7</v>
      </c>
      <c r="E9" s="83">
        <f>Project_Start</f>
        <v>45919</v>
      </c>
      <c r="F9" s="83">
        <f>E9+9</f>
        <v>45928</v>
      </c>
      <c r="G9" s="17"/>
      <c r="H9" s="17">
        <f t="shared" si="48"/>
        <v>10</v>
      </c>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c r="AS9" s="44"/>
      <c r="AT9" s="44"/>
      <c r="AU9" s="44"/>
      <c r="AV9" s="44"/>
      <c r="AW9" s="44"/>
      <c r="AX9" s="44"/>
      <c r="AY9" s="44"/>
      <c r="AZ9" s="44"/>
      <c r="BA9" s="44"/>
      <c r="BB9" s="44"/>
      <c r="BC9" s="44"/>
      <c r="BD9" s="44"/>
      <c r="BE9" s="44"/>
      <c r="BF9" s="44"/>
      <c r="BG9" s="44"/>
      <c r="BH9" s="44"/>
      <c r="BI9" s="44"/>
      <c r="BJ9" s="44"/>
      <c r="BK9" s="44"/>
      <c r="BL9" s="44"/>
      <c r="BM9" s="44"/>
      <c r="BN9" s="44"/>
      <c r="BO9" s="44"/>
      <c r="BP9" s="44"/>
      <c r="BQ9" s="44"/>
      <c r="BR9" s="44"/>
      <c r="BS9" s="44"/>
      <c r="BT9" s="44"/>
      <c r="BU9" s="44"/>
      <c r="BV9" s="44"/>
      <c r="BW9" s="44"/>
      <c r="BX9" s="44"/>
      <c r="BY9" s="44"/>
      <c r="BZ9" s="44"/>
      <c r="CA9" s="44"/>
      <c r="CB9" s="44"/>
      <c r="CC9" s="44"/>
      <c r="CD9" s="44"/>
      <c r="CE9" s="44"/>
      <c r="CF9" s="44"/>
      <c r="CG9" s="44"/>
      <c r="CH9" s="44"/>
      <c r="CI9" s="44"/>
      <c r="CJ9" s="44"/>
      <c r="CK9" s="44"/>
      <c r="CL9" s="44"/>
      <c r="CM9" s="44"/>
      <c r="CN9" s="44"/>
      <c r="CO9" s="44"/>
      <c r="CP9" s="44"/>
      <c r="CQ9" s="44"/>
      <c r="CR9" s="44"/>
      <c r="CS9" s="44"/>
      <c r="CT9" s="44"/>
      <c r="CU9" s="44"/>
    </row>
    <row r="10" spans="1:99" s="3" customFormat="1" ht="30" customHeight="1" thickBot="1" x14ac:dyDescent="0.4">
      <c r="A10" s="59" t="s">
        <v>23</v>
      </c>
      <c r="B10" s="78" t="s">
        <v>53</v>
      </c>
      <c r="C10" s="70" t="s">
        <v>61</v>
      </c>
      <c r="D10" s="22">
        <v>0</v>
      </c>
      <c r="E10" s="83">
        <f>F9+1</f>
        <v>45929</v>
      </c>
      <c r="F10" s="83">
        <f>E10+6</f>
        <v>45935</v>
      </c>
      <c r="G10" s="17"/>
      <c r="H10" s="17">
        <f t="shared" si="48"/>
        <v>7</v>
      </c>
      <c r="I10" s="44"/>
      <c r="J10" s="44"/>
      <c r="K10" s="44"/>
      <c r="L10" s="44"/>
      <c r="M10" s="44"/>
      <c r="N10" s="44"/>
      <c r="O10" s="44"/>
      <c r="P10" s="44"/>
      <c r="Q10" s="44"/>
      <c r="R10" s="44"/>
      <c r="S10" s="44"/>
      <c r="T10" s="44"/>
      <c r="U10" s="45"/>
      <c r="V10" s="45"/>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c r="BL10" s="44"/>
      <c r="BM10" s="44"/>
      <c r="BN10" s="44"/>
      <c r="BO10" s="44"/>
      <c r="BP10" s="44"/>
      <c r="BQ10" s="44"/>
      <c r="BR10" s="44"/>
      <c r="BS10" s="44"/>
      <c r="BT10" s="44"/>
      <c r="BU10" s="44"/>
      <c r="BV10" s="44"/>
      <c r="BW10" s="44"/>
      <c r="BX10" s="44"/>
      <c r="BY10" s="44"/>
      <c r="BZ10" s="44"/>
      <c r="CA10" s="44"/>
      <c r="CB10" s="44"/>
      <c r="CC10" s="44"/>
      <c r="CD10" s="44"/>
      <c r="CE10" s="44"/>
      <c r="CF10" s="44"/>
      <c r="CG10" s="44"/>
      <c r="CH10" s="44"/>
      <c r="CI10" s="44"/>
      <c r="CJ10" s="44"/>
      <c r="CK10" s="44"/>
      <c r="CL10" s="44"/>
      <c r="CM10" s="44"/>
      <c r="CN10" s="44"/>
      <c r="CO10" s="44"/>
      <c r="CP10" s="44"/>
      <c r="CQ10" s="44"/>
      <c r="CR10" s="44"/>
      <c r="CS10" s="44"/>
      <c r="CT10" s="44"/>
      <c r="CU10" s="44"/>
    </row>
    <row r="11" spans="1:99" s="3" customFormat="1" ht="30" customHeight="1" thickBot="1" x14ac:dyDescent="0.4">
      <c r="A11" s="58"/>
      <c r="B11" s="78" t="s">
        <v>54</v>
      </c>
      <c r="C11" s="70" t="s">
        <v>61</v>
      </c>
      <c r="D11" s="22">
        <v>0</v>
      </c>
      <c r="E11" s="83">
        <f>Project_Start+7</f>
        <v>45926</v>
      </c>
      <c r="F11" s="83">
        <f>E11+5</f>
        <v>45931</v>
      </c>
      <c r="G11" s="17"/>
      <c r="H11" s="17">
        <f t="shared" si="48"/>
        <v>6</v>
      </c>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c r="BL11" s="44"/>
      <c r="BM11" s="44"/>
      <c r="BN11" s="44"/>
      <c r="BO11" s="44"/>
      <c r="BP11" s="44"/>
      <c r="BQ11" s="44"/>
      <c r="BR11" s="44"/>
      <c r="BS11" s="44"/>
      <c r="BT11" s="44"/>
      <c r="BU11" s="44"/>
      <c r="BV11" s="44"/>
      <c r="BW11" s="44"/>
      <c r="BX11" s="44"/>
      <c r="BY11" s="44"/>
      <c r="BZ11" s="44"/>
      <c r="CA11" s="44"/>
      <c r="CB11" s="44"/>
      <c r="CC11" s="44"/>
      <c r="CD11" s="44"/>
      <c r="CE11" s="44"/>
      <c r="CF11" s="44"/>
      <c r="CG11" s="44"/>
      <c r="CH11" s="44"/>
      <c r="CI11" s="44"/>
      <c r="CJ11" s="44"/>
      <c r="CK11" s="44"/>
      <c r="CL11" s="44"/>
      <c r="CM11" s="44"/>
      <c r="CN11" s="44"/>
      <c r="CO11" s="44"/>
      <c r="CP11" s="44"/>
      <c r="CQ11" s="44"/>
      <c r="CR11" s="44"/>
      <c r="CS11" s="44"/>
      <c r="CT11" s="44"/>
      <c r="CU11" s="44"/>
    </row>
    <row r="12" spans="1:99" s="3" customFormat="1" ht="30" customHeight="1" thickBot="1" x14ac:dyDescent="0.4">
      <c r="A12" s="58"/>
      <c r="B12" s="78" t="s">
        <v>55</v>
      </c>
      <c r="C12" s="70" t="s">
        <v>62</v>
      </c>
      <c r="D12" s="22">
        <v>0</v>
      </c>
      <c r="E12" s="83">
        <f>F10+5</f>
        <v>45940</v>
      </c>
      <c r="F12" s="83">
        <f>E12+7</f>
        <v>45947</v>
      </c>
      <c r="G12" s="17"/>
      <c r="H12" s="17">
        <f t="shared" si="48"/>
        <v>8</v>
      </c>
      <c r="I12" s="44"/>
      <c r="J12" s="44"/>
      <c r="K12" s="44"/>
      <c r="L12" s="44"/>
      <c r="M12" s="44"/>
      <c r="N12" s="44"/>
      <c r="O12" s="44"/>
      <c r="P12" s="44"/>
      <c r="Q12" s="44"/>
      <c r="R12" s="44"/>
      <c r="S12" s="44"/>
      <c r="T12" s="44"/>
      <c r="U12" s="44"/>
      <c r="V12" s="44"/>
      <c r="W12" s="44"/>
      <c r="X12" s="44"/>
      <c r="Y12" s="45"/>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c r="BN12" s="44"/>
      <c r="BO12" s="44"/>
      <c r="BP12" s="44"/>
      <c r="BQ12" s="44"/>
      <c r="BR12" s="44"/>
      <c r="BS12" s="44"/>
      <c r="BT12" s="44"/>
      <c r="BU12" s="44"/>
      <c r="BV12" s="44"/>
      <c r="BW12" s="44"/>
      <c r="BX12" s="44"/>
      <c r="BY12" s="44"/>
      <c r="BZ12" s="44"/>
      <c r="CA12" s="44"/>
      <c r="CB12" s="44"/>
      <c r="CC12" s="44"/>
      <c r="CD12" s="44"/>
      <c r="CE12" s="44"/>
      <c r="CF12" s="44"/>
      <c r="CG12" s="44"/>
      <c r="CH12" s="44"/>
      <c r="CI12" s="44"/>
      <c r="CJ12" s="44"/>
      <c r="CK12" s="44"/>
      <c r="CL12" s="44"/>
      <c r="CM12" s="44"/>
      <c r="CN12" s="44"/>
      <c r="CO12" s="44"/>
      <c r="CP12" s="44"/>
      <c r="CQ12" s="44"/>
      <c r="CR12" s="44"/>
      <c r="CS12" s="44"/>
      <c r="CT12" s="44"/>
      <c r="CU12" s="44"/>
    </row>
    <row r="13" spans="1:99" s="3" customFormat="1" ht="30" customHeight="1" thickBot="1" x14ac:dyDescent="0.4">
      <c r="A13" s="58"/>
      <c r="B13" s="78" t="s">
        <v>59</v>
      </c>
      <c r="C13" s="70" t="s">
        <v>60</v>
      </c>
      <c r="D13" s="22">
        <v>0</v>
      </c>
      <c r="E13" s="83">
        <f>F12</f>
        <v>45947</v>
      </c>
      <c r="F13" s="83">
        <f>E13+7</f>
        <v>45954</v>
      </c>
      <c r="G13" s="17"/>
      <c r="H13" s="17">
        <f t="shared" si="48"/>
        <v>8</v>
      </c>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c r="BM13" s="44"/>
      <c r="BN13" s="44"/>
      <c r="BO13" s="44"/>
      <c r="BP13" s="44"/>
      <c r="BQ13" s="44"/>
      <c r="BR13" s="44"/>
      <c r="BS13" s="44"/>
      <c r="BT13" s="44"/>
      <c r="BU13" s="44"/>
      <c r="BV13" s="44"/>
      <c r="BW13" s="44"/>
      <c r="BX13" s="44"/>
      <c r="BY13" s="44"/>
      <c r="BZ13" s="44"/>
      <c r="CA13" s="44"/>
      <c r="CB13" s="44"/>
      <c r="CC13" s="44"/>
      <c r="CD13" s="44"/>
      <c r="CE13" s="44"/>
      <c r="CF13" s="44"/>
      <c r="CG13" s="44"/>
      <c r="CH13" s="44"/>
      <c r="CI13" s="44"/>
      <c r="CJ13" s="44"/>
      <c r="CK13" s="44"/>
      <c r="CL13" s="44"/>
      <c r="CM13" s="44"/>
      <c r="CN13" s="44"/>
      <c r="CO13" s="44"/>
      <c r="CP13" s="44"/>
      <c r="CQ13" s="44"/>
      <c r="CR13" s="44"/>
      <c r="CS13" s="44"/>
      <c r="CT13" s="44"/>
      <c r="CU13" s="44"/>
    </row>
    <row r="14" spans="1:99" s="3" customFormat="1" ht="30" customHeight="1" thickBot="1" x14ac:dyDescent="0.4">
      <c r="A14" s="58"/>
      <c r="B14" s="86" t="s">
        <v>58</v>
      </c>
      <c r="C14" s="70" t="s">
        <v>60</v>
      </c>
      <c r="D14" s="22">
        <v>0</v>
      </c>
      <c r="E14" s="85">
        <v>45961</v>
      </c>
      <c r="F14" s="85">
        <v>45961</v>
      </c>
      <c r="G14" s="17"/>
      <c r="H14" s="17">
        <f t="shared" si="48"/>
        <v>1</v>
      </c>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c r="AW14" s="44"/>
      <c r="AX14" s="44"/>
      <c r="AY14" s="44"/>
      <c r="AZ14" s="44"/>
      <c r="BA14" s="44"/>
      <c r="BB14" s="44"/>
      <c r="BC14" s="44"/>
      <c r="BD14" s="44"/>
      <c r="BE14" s="44"/>
      <c r="BF14" s="44"/>
      <c r="BG14" s="44"/>
      <c r="BH14" s="44"/>
      <c r="BI14" s="44"/>
      <c r="BJ14" s="44"/>
      <c r="BK14" s="44"/>
      <c r="BL14" s="44"/>
      <c r="BM14" s="44"/>
      <c r="BN14" s="44"/>
      <c r="BO14" s="44"/>
      <c r="BP14" s="44"/>
      <c r="BQ14" s="44"/>
      <c r="BR14" s="44"/>
      <c r="BS14" s="44"/>
      <c r="BT14" s="44"/>
      <c r="BU14" s="44"/>
      <c r="BV14" s="44"/>
      <c r="BW14" s="44"/>
      <c r="BX14" s="44"/>
      <c r="BY14" s="44"/>
      <c r="BZ14" s="44"/>
      <c r="CA14" s="44"/>
      <c r="CB14" s="44"/>
      <c r="CC14" s="44"/>
      <c r="CD14" s="44"/>
      <c r="CE14" s="44"/>
      <c r="CF14" s="44"/>
      <c r="CG14" s="44"/>
      <c r="CH14" s="44"/>
      <c r="CI14" s="44"/>
      <c r="CJ14" s="44"/>
      <c r="CK14" s="44"/>
      <c r="CL14" s="44"/>
      <c r="CM14" s="44"/>
      <c r="CN14" s="44"/>
      <c r="CO14" s="44"/>
      <c r="CP14" s="44"/>
      <c r="CQ14" s="44"/>
      <c r="CR14" s="44"/>
      <c r="CS14" s="44"/>
      <c r="CT14" s="44"/>
      <c r="CU14" s="44"/>
    </row>
    <row r="15" spans="1:99" s="3" customFormat="1" ht="30" customHeight="1" thickBot="1" x14ac:dyDescent="0.4">
      <c r="A15" s="58"/>
      <c r="B15" s="78" t="s">
        <v>57</v>
      </c>
      <c r="C15" s="70" t="s">
        <v>60</v>
      </c>
      <c r="D15" s="22">
        <v>0</v>
      </c>
      <c r="E15" s="83">
        <v>45947</v>
      </c>
      <c r="F15" s="83">
        <f>E15+23</f>
        <v>45970</v>
      </c>
      <c r="G15" s="17"/>
      <c r="H15" s="17">
        <f t="shared" si="48"/>
        <v>24</v>
      </c>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c r="AW15" s="44"/>
      <c r="AX15" s="44"/>
      <c r="AY15" s="44"/>
      <c r="AZ15" s="44"/>
      <c r="BA15" s="44"/>
      <c r="BB15" s="44"/>
      <c r="BC15" s="44"/>
      <c r="BD15" s="44"/>
      <c r="BE15" s="44"/>
      <c r="BF15" s="44"/>
      <c r="BG15" s="44"/>
      <c r="BH15" s="44"/>
      <c r="BI15" s="44"/>
      <c r="BJ15" s="44"/>
      <c r="BK15" s="44"/>
      <c r="BL15" s="44"/>
      <c r="BM15" s="44"/>
      <c r="BN15" s="44"/>
      <c r="BO15" s="44"/>
      <c r="BP15" s="44"/>
      <c r="BQ15" s="44"/>
      <c r="BR15" s="44"/>
      <c r="BS15" s="44"/>
      <c r="BT15" s="44"/>
      <c r="BU15" s="44"/>
      <c r="BV15" s="44"/>
      <c r="BW15" s="44"/>
      <c r="BX15" s="44"/>
      <c r="BY15" s="44"/>
      <c r="BZ15" s="44"/>
      <c r="CA15" s="44"/>
      <c r="CB15" s="44"/>
      <c r="CC15" s="44"/>
      <c r="CD15" s="44"/>
      <c r="CE15" s="44"/>
      <c r="CF15" s="44"/>
      <c r="CG15" s="44"/>
      <c r="CH15" s="44"/>
      <c r="CI15" s="44"/>
      <c r="CJ15" s="44"/>
      <c r="CK15" s="44"/>
      <c r="CL15" s="44"/>
      <c r="CM15" s="44"/>
      <c r="CN15" s="44"/>
      <c r="CO15" s="44"/>
      <c r="CP15" s="44"/>
      <c r="CQ15" s="44"/>
      <c r="CR15" s="44"/>
      <c r="CS15" s="44"/>
      <c r="CT15" s="44"/>
      <c r="CU15" s="44"/>
    </row>
    <row r="16" spans="1:99" s="3" customFormat="1" ht="30" customHeight="1" thickBot="1" x14ac:dyDescent="0.4">
      <c r="A16" s="58"/>
      <c r="B16" s="86" t="s">
        <v>63</v>
      </c>
      <c r="C16" s="70" t="s">
        <v>60</v>
      </c>
      <c r="D16" s="22">
        <v>0</v>
      </c>
      <c r="E16" s="87">
        <f>F16</f>
        <v>45975</v>
      </c>
      <c r="F16" s="85">
        <v>45975</v>
      </c>
      <c r="G16" s="17"/>
      <c r="H16" s="17">
        <f t="shared" si="48"/>
        <v>1</v>
      </c>
      <c r="I16" s="44"/>
      <c r="J16" s="44"/>
      <c r="K16" s="44"/>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c r="BM16" s="44"/>
      <c r="BN16" s="44"/>
      <c r="BO16" s="44"/>
      <c r="BP16" s="44"/>
      <c r="BQ16" s="44"/>
      <c r="BR16" s="44"/>
      <c r="BS16" s="44"/>
      <c r="BT16" s="44"/>
      <c r="BU16" s="44"/>
      <c r="BV16" s="44"/>
      <c r="BW16" s="44"/>
      <c r="BX16" s="44"/>
      <c r="BY16" s="44"/>
      <c r="BZ16" s="44"/>
      <c r="CA16" s="44"/>
      <c r="CB16" s="44"/>
      <c r="CC16" s="44"/>
      <c r="CD16" s="44"/>
      <c r="CE16" s="44"/>
      <c r="CF16" s="44"/>
      <c r="CG16" s="44"/>
      <c r="CH16" s="44"/>
      <c r="CI16" s="44"/>
      <c r="CJ16" s="44"/>
      <c r="CK16" s="44"/>
      <c r="CL16" s="44"/>
      <c r="CM16" s="44"/>
      <c r="CN16" s="44"/>
      <c r="CO16" s="44"/>
      <c r="CP16" s="44"/>
      <c r="CQ16" s="44"/>
      <c r="CR16" s="44"/>
      <c r="CS16" s="44"/>
      <c r="CT16" s="44"/>
      <c r="CU16" s="44"/>
    </row>
    <row r="17" spans="1:99" s="3" customFormat="1" ht="30" customHeight="1" thickBot="1" x14ac:dyDescent="0.4">
      <c r="A17" s="59" t="s">
        <v>27</v>
      </c>
      <c r="B17" s="23" t="s">
        <v>64</v>
      </c>
      <c r="C17" s="71"/>
      <c r="D17" s="24"/>
      <c r="E17" s="25"/>
      <c r="F17" s="26"/>
      <c r="G17" s="17"/>
      <c r="H17" s="17" t="str">
        <f t="shared" si="48"/>
        <v/>
      </c>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c r="BL17" s="44"/>
      <c r="BM17" s="44"/>
      <c r="BN17" s="44"/>
      <c r="BO17" s="44"/>
      <c r="BP17" s="44"/>
      <c r="BQ17" s="44"/>
      <c r="BR17" s="44"/>
      <c r="BS17" s="44"/>
      <c r="BT17" s="44"/>
      <c r="BU17" s="44"/>
      <c r="BV17" s="44"/>
      <c r="BW17" s="44"/>
      <c r="BX17" s="44"/>
      <c r="BY17" s="44"/>
      <c r="BZ17" s="44"/>
      <c r="CA17" s="44"/>
      <c r="CB17" s="44"/>
      <c r="CC17" s="44"/>
      <c r="CD17" s="44"/>
      <c r="CE17" s="44"/>
      <c r="CF17" s="44"/>
      <c r="CG17" s="44"/>
      <c r="CH17" s="44"/>
      <c r="CI17" s="44"/>
      <c r="CJ17" s="44"/>
      <c r="CK17" s="44"/>
      <c r="CL17" s="44"/>
      <c r="CM17" s="44"/>
      <c r="CN17" s="44"/>
      <c r="CO17" s="44"/>
      <c r="CP17" s="44"/>
      <c r="CQ17" s="44"/>
      <c r="CR17" s="44"/>
      <c r="CS17" s="44"/>
      <c r="CT17" s="44"/>
      <c r="CU17" s="44"/>
    </row>
    <row r="18" spans="1:99" s="3" customFormat="1" ht="30" customHeight="1" thickBot="1" x14ac:dyDescent="0.4">
      <c r="A18" s="59"/>
      <c r="B18" s="79" t="s">
        <v>28</v>
      </c>
      <c r="C18" s="72"/>
      <c r="D18" s="27">
        <v>0</v>
      </c>
      <c r="E18" s="84">
        <f>E16+1</f>
        <v>45976</v>
      </c>
      <c r="F18" s="84">
        <f>E18+4</f>
        <v>45980</v>
      </c>
      <c r="G18" s="17"/>
      <c r="H18" s="17">
        <f t="shared" si="48"/>
        <v>5</v>
      </c>
      <c r="I18" s="44"/>
      <c r="J18" s="44"/>
      <c r="K18" s="44"/>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c r="BL18" s="44"/>
      <c r="BM18" s="44"/>
      <c r="BN18" s="44"/>
      <c r="BO18" s="44"/>
      <c r="BP18" s="44"/>
      <c r="BQ18" s="44"/>
      <c r="BR18" s="44"/>
      <c r="BS18" s="44"/>
      <c r="BT18" s="44"/>
      <c r="BU18" s="44"/>
      <c r="BV18" s="44"/>
      <c r="BW18" s="44"/>
      <c r="BX18" s="44"/>
      <c r="BY18" s="44"/>
      <c r="BZ18" s="44"/>
      <c r="CA18" s="44"/>
      <c r="CB18" s="44"/>
      <c r="CC18" s="44"/>
      <c r="CD18" s="44"/>
      <c r="CE18" s="44"/>
      <c r="CF18" s="44"/>
      <c r="CG18" s="44"/>
      <c r="CH18" s="44"/>
      <c r="CI18" s="44"/>
      <c r="CJ18" s="44"/>
      <c r="CK18" s="44"/>
      <c r="CL18" s="44"/>
      <c r="CM18" s="44"/>
      <c r="CN18" s="44"/>
      <c r="CO18" s="44"/>
      <c r="CP18" s="44"/>
      <c r="CQ18" s="44"/>
      <c r="CR18" s="44"/>
      <c r="CS18" s="44"/>
      <c r="CT18" s="44"/>
      <c r="CU18" s="44"/>
    </row>
    <row r="19" spans="1:99" s="3" customFormat="1" ht="30" customHeight="1" thickBot="1" x14ac:dyDescent="0.4">
      <c r="A19" s="58"/>
      <c r="B19" s="79" t="s">
        <v>29</v>
      </c>
      <c r="C19" s="72"/>
      <c r="D19" s="27">
        <v>0</v>
      </c>
      <c r="E19" s="84">
        <f t="shared" ref="E19:E22" si="49">E17+1</f>
        <v>1</v>
      </c>
      <c r="F19" s="84">
        <f t="shared" ref="F19:F22" si="50">E19+4</f>
        <v>5</v>
      </c>
      <c r="G19" s="17"/>
      <c r="H19" s="17">
        <f t="shared" si="48"/>
        <v>5</v>
      </c>
      <c r="I19" s="44"/>
      <c r="J19" s="44"/>
      <c r="K19" s="44"/>
      <c r="L19" s="44"/>
      <c r="M19" s="44"/>
      <c r="N19" s="44"/>
      <c r="O19" s="44"/>
      <c r="P19" s="44"/>
      <c r="Q19" s="44"/>
      <c r="R19" s="44"/>
      <c r="S19" s="44"/>
      <c r="T19" s="44"/>
      <c r="U19" s="45"/>
      <c r="V19" s="45"/>
      <c r="W19" s="44"/>
      <c r="X19" s="44"/>
      <c r="Y19" s="44"/>
      <c r="Z19" s="44"/>
      <c r="AA19" s="44"/>
      <c r="AB19" s="44"/>
      <c r="AC19" s="44"/>
      <c r="AD19" s="44"/>
      <c r="AE19" s="44"/>
      <c r="AF19" s="44"/>
      <c r="AG19" s="44"/>
      <c r="AH19" s="44"/>
      <c r="AI19" s="44"/>
      <c r="AJ19" s="44"/>
      <c r="AK19" s="44"/>
      <c r="AL19" s="44"/>
      <c r="AM19" s="44"/>
      <c r="AN19" s="44"/>
      <c r="AO19" s="44"/>
      <c r="AP19" s="44"/>
      <c r="AQ19" s="44"/>
      <c r="AR19" s="44"/>
      <c r="AS19" s="44"/>
      <c r="AT19" s="44"/>
      <c r="AU19" s="44"/>
      <c r="AV19" s="44"/>
      <c r="AW19" s="44"/>
      <c r="AX19" s="44"/>
      <c r="AY19" s="44"/>
      <c r="AZ19" s="44"/>
      <c r="BA19" s="44"/>
      <c r="BB19" s="44"/>
      <c r="BC19" s="44"/>
      <c r="BD19" s="44"/>
      <c r="BE19" s="44"/>
      <c r="BF19" s="44"/>
      <c r="BG19" s="44"/>
      <c r="BH19" s="44"/>
      <c r="BI19" s="44"/>
      <c r="BJ19" s="44"/>
      <c r="BK19" s="44"/>
      <c r="BL19" s="44"/>
      <c r="BM19" s="44"/>
      <c r="BN19" s="44"/>
      <c r="BO19" s="44"/>
      <c r="BP19" s="44"/>
      <c r="BQ19" s="44"/>
      <c r="BR19" s="44"/>
      <c r="BS19" s="44"/>
      <c r="BT19" s="44"/>
      <c r="BU19" s="44"/>
      <c r="BV19" s="44"/>
      <c r="BW19" s="44"/>
      <c r="BX19" s="44"/>
      <c r="BY19" s="44"/>
      <c r="BZ19" s="44"/>
      <c r="CA19" s="44"/>
      <c r="CB19" s="44"/>
      <c r="CC19" s="44"/>
      <c r="CD19" s="44"/>
      <c r="CE19" s="44"/>
      <c r="CF19" s="44"/>
      <c r="CG19" s="44"/>
      <c r="CH19" s="44"/>
      <c r="CI19" s="44"/>
      <c r="CJ19" s="44"/>
      <c r="CK19" s="44"/>
      <c r="CL19" s="44"/>
      <c r="CM19" s="44"/>
      <c r="CN19" s="44"/>
      <c r="CO19" s="44"/>
      <c r="CP19" s="44"/>
      <c r="CQ19" s="44"/>
      <c r="CR19" s="44"/>
      <c r="CS19" s="44"/>
      <c r="CT19" s="44"/>
      <c r="CU19" s="44"/>
    </row>
    <row r="20" spans="1:99" s="3" customFormat="1" ht="30" customHeight="1" thickBot="1" x14ac:dyDescent="0.4">
      <c r="A20" s="58"/>
      <c r="B20" s="79" t="s">
        <v>24</v>
      </c>
      <c r="C20" s="72"/>
      <c r="D20" s="27">
        <v>0</v>
      </c>
      <c r="E20" s="84">
        <f t="shared" si="49"/>
        <v>45977</v>
      </c>
      <c r="F20" s="84">
        <f t="shared" si="50"/>
        <v>45981</v>
      </c>
      <c r="G20" s="17"/>
      <c r="H20" s="17">
        <f t="shared" si="48"/>
        <v>5</v>
      </c>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c r="AV20" s="44"/>
      <c r="AW20" s="44"/>
      <c r="AX20" s="44"/>
      <c r="AY20" s="44"/>
      <c r="AZ20" s="44"/>
      <c r="BA20" s="44"/>
      <c r="BB20" s="44"/>
      <c r="BC20" s="44"/>
      <c r="BD20" s="44"/>
      <c r="BE20" s="44"/>
      <c r="BF20" s="44"/>
      <c r="BG20" s="44"/>
      <c r="BH20" s="44"/>
      <c r="BI20" s="44"/>
      <c r="BJ20" s="44"/>
      <c r="BK20" s="44"/>
      <c r="BL20" s="44"/>
      <c r="BM20" s="44"/>
      <c r="BN20" s="44"/>
      <c r="BO20" s="44"/>
      <c r="BP20" s="44"/>
      <c r="BQ20" s="44"/>
      <c r="BR20" s="44"/>
      <c r="BS20" s="44"/>
      <c r="BT20" s="44"/>
      <c r="BU20" s="44"/>
      <c r="BV20" s="44"/>
      <c r="BW20" s="44"/>
      <c r="BX20" s="44"/>
      <c r="BY20" s="44"/>
      <c r="BZ20" s="44"/>
      <c r="CA20" s="44"/>
      <c r="CB20" s="44"/>
      <c r="CC20" s="44"/>
      <c r="CD20" s="44"/>
      <c r="CE20" s="44"/>
      <c r="CF20" s="44"/>
      <c r="CG20" s="44"/>
      <c r="CH20" s="44"/>
      <c r="CI20" s="44"/>
      <c r="CJ20" s="44"/>
      <c r="CK20" s="44"/>
      <c r="CL20" s="44"/>
      <c r="CM20" s="44"/>
      <c r="CN20" s="44"/>
      <c r="CO20" s="44"/>
      <c r="CP20" s="44"/>
      <c r="CQ20" s="44"/>
      <c r="CR20" s="44"/>
      <c r="CS20" s="44"/>
      <c r="CT20" s="44"/>
      <c r="CU20" s="44"/>
    </row>
    <row r="21" spans="1:99" s="3" customFormat="1" ht="30" customHeight="1" thickBot="1" x14ac:dyDescent="0.4">
      <c r="A21" s="58"/>
      <c r="B21" s="79" t="s">
        <v>25</v>
      </c>
      <c r="C21" s="72"/>
      <c r="D21" s="27">
        <v>0</v>
      </c>
      <c r="E21" s="84">
        <f t="shared" si="49"/>
        <v>2</v>
      </c>
      <c r="F21" s="84">
        <f t="shared" si="50"/>
        <v>6</v>
      </c>
      <c r="G21" s="17"/>
      <c r="H21" s="17">
        <f t="shared" si="48"/>
        <v>5</v>
      </c>
      <c r="I21" s="44"/>
      <c r="J21" s="44"/>
      <c r="K21" s="44"/>
      <c r="L21" s="44"/>
      <c r="M21" s="44"/>
      <c r="N21" s="44"/>
      <c r="O21" s="44"/>
      <c r="P21" s="44"/>
      <c r="Q21" s="44"/>
      <c r="R21" s="44"/>
      <c r="S21" s="44"/>
      <c r="T21" s="44"/>
      <c r="U21" s="44"/>
      <c r="V21" s="44"/>
      <c r="W21" s="44"/>
      <c r="X21" s="44"/>
      <c r="Y21" s="45"/>
      <c r="Z21" s="44"/>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c r="BM21" s="44"/>
      <c r="BN21" s="44"/>
      <c r="BO21" s="44"/>
      <c r="BP21" s="44"/>
      <c r="BQ21" s="44"/>
      <c r="BR21" s="44"/>
      <c r="BS21" s="44"/>
      <c r="BT21" s="44"/>
      <c r="BU21" s="44"/>
      <c r="BV21" s="44"/>
      <c r="BW21" s="44"/>
      <c r="BX21" s="44"/>
      <c r="BY21" s="44"/>
      <c r="BZ21" s="44"/>
      <c r="CA21" s="44"/>
      <c r="CB21" s="44"/>
      <c r="CC21" s="44"/>
      <c r="CD21" s="44"/>
      <c r="CE21" s="44"/>
      <c r="CF21" s="44"/>
      <c r="CG21" s="44"/>
      <c r="CH21" s="44"/>
      <c r="CI21" s="44"/>
      <c r="CJ21" s="44"/>
      <c r="CK21" s="44"/>
      <c r="CL21" s="44"/>
      <c r="CM21" s="44"/>
      <c r="CN21" s="44"/>
      <c r="CO21" s="44"/>
      <c r="CP21" s="44"/>
      <c r="CQ21" s="44"/>
      <c r="CR21" s="44"/>
      <c r="CS21" s="44"/>
      <c r="CT21" s="44"/>
      <c r="CU21" s="44"/>
    </row>
    <row r="22" spans="1:99" s="3" customFormat="1" ht="30" customHeight="1" thickBot="1" x14ac:dyDescent="0.4">
      <c r="A22" s="58"/>
      <c r="B22" s="79" t="s">
        <v>26</v>
      </c>
      <c r="C22" s="72"/>
      <c r="D22" s="27">
        <v>0</v>
      </c>
      <c r="E22" s="84">
        <f t="shared" si="49"/>
        <v>45978</v>
      </c>
      <c r="F22" s="84">
        <f t="shared" si="50"/>
        <v>45982</v>
      </c>
      <c r="G22" s="17"/>
      <c r="H22" s="17">
        <f t="shared" si="48"/>
        <v>5</v>
      </c>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c r="AV22" s="44"/>
      <c r="AW22" s="44"/>
      <c r="AX22" s="44"/>
      <c r="AY22" s="44"/>
      <c r="AZ22" s="44"/>
      <c r="BA22" s="44"/>
      <c r="BB22" s="44"/>
      <c r="BC22" s="44"/>
      <c r="BD22" s="44"/>
      <c r="BE22" s="44"/>
      <c r="BF22" s="44"/>
      <c r="BG22" s="44"/>
      <c r="BH22" s="44"/>
      <c r="BI22" s="44"/>
      <c r="BJ22" s="44"/>
      <c r="BK22" s="44"/>
      <c r="BL22" s="44"/>
      <c r="BM22" s="44"/>
      <c r="BN22" s="44"/>
      <c r="BO22" s="44"/>
      <c r="BP22" s="44"/>
      <c r="BQ22" s="44"/>
      <c r="BR22" s="44"/>
      <c r="BS22" s="44"/>
      <c r="BT22" s="44"/>
      <c r="BU22" s="44"/>
      <c r="BV22" s="44"/>
      <c r="BW22" s="44"/>
      <c r="BX22" s="44"/>
      <c r="BY22" s="44"/>
      <c r="BZ22" s="44"/>
      <c r="CA22" s="44"/>
      <c r="CB22" s="44"/>
      <c r="CC22" s="44"/>
      <c r="CD22" s="44"/>
      <c r="CE22" s="44"/>
      <c r="CF22" s="44"/>
      <c r="CG22" s="44"/>
      <c r="CH22" s="44"/>
      <c r="CI22" s="44"/>
      <c r="CJ22" s="44"/>
      <c r="CK22" s="44"/>
      <c r="CL22" s="44"/>
      <c r="CM22" s="44"/>
      <c r="CN22" s="44"/>
      <c r="CO22" s="44"/>
      <c r="CP22" s="44"/>
      <c r="CQ22" s="44"/>
      <c r="CR22" s="44"/>
      <c r="CS22" s="44"/>
      <c r="CT22" s="44"/>
      <c r="CU22" s="44"/>
    </row>
    <row r="23" spans="1:99" s="3" customFormat="1" ht="30" customHeight="1" thickBot="1" x14ac:dyDescent="0.4">
      <c r="A23" s="58" t="s">
        <v>30</v>
      </c>
      <c r="B23" s="28" t="s">
        <v>31</v>
      </c>
      <c r="C23" s="73"/>
      <c r="D23" s="29"/>
      <c r="E23" s="30"/>
      <c r="F23" s="31"/>
      <c r="G23" s="17"/>
      <c r="H23" s="17" t="str">
        <f t="shared" si="48"/>
        <v/>
      </c>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c r="AS23" s="44"/>
      <c r="AT23" s="44"/>
      <c r="AU23" s="44"/>
      <c r="AV23" s="44"/>
      <c r="AW23" s="44"/>
      <c r="AX23" s="44"/>
      <c r="AY23" s="44"/>
      <c r="AZ23" s="44"/>
      <c r="BA23" s="44"/>
      <c r="BB23" s="44"/>
      <c r="BC23" s="44"/>
      <c r="BD23" s="44"/>
      <c r="BE23" s="44"/>
      <c r="BF23" s="44"/>
      <c r="BG23" s="44"/>
      <c r="BH23" s="44"/>
      <c r="BI23" s="44"/>
      <c r="BJ23" s="44"/>
      <c r="BK23" s="44"/>
      <c r="BL23" s="44"/>
      <c r="BM23" s="44"/>
      <c r="BN23" s="44"/>
      <c r="BO23" s="44"/>
      <c r="BP23" s="44"/>
      <c r="BQ23" s="44"/>
      <c r="BR23" s="44"/>
      <c r="BS23" s="44"/>
      <c r="BT23" s="44"/>
      <c r="BU23" s="44"/>
      <c r="BV23" s="44"/>
      <c r="BW23" s="44"/>
      <c r="BX23" s="44"/>
      <c r="BY23" s="44"/>
      <c r="BZ23" s="44"/>
      <c r="CA23" s="44"/>
      <c r="CB23" s="44"/>
      <c r="CC23" s="44"/>
      <c r="CD23" s="44"/>
      <c r="CE23" s="44"/>
      <c r="CF23" s="44"/>
      <c r="CG23" s="44"/>
      <c r="CH23" s="44"/>
      <c r="CI23" s="44"/>
      <c r="CJ23" s="44"/>
      <c r="CK23" s="44"/>
      <c r="CL23" s="44"/>
      <c r="CM23" s="44"/>
      <c r="CN23" s="44"/>
      <c r="CO23" s="44"/>
      <c r="CP23" s="44"/>
      <c r="CQ23" s="44"/>
      <c r="CR23" s="44"/>
      <c r="CS23" s="44"/>
      <c r="CT23" s="44"/>
      <c r="CU23" s="44"/>
    </row>
    <row r="24" spans="1:99" s="3" customFormat="1" ht="30" customHeight="1" thickBot="1" x14ac:dyDescent="0.4">
      <c r="A24" s="58"/>
      <c r="B24" s="80" t="s">
        <v>28</v>
      </c>
      <c r="C24" s="74"/>
      <c r="D24" s="32"/>
      <c r="E24" s="66">
        <f>E9+15</f>
        <v>45934</v>
      </c>
      <c r="F24" s="66">
        <f>E24+5</f>
        <v>45939</v>
      </c>
      <c r="G24" s="17"/>
      <c r="H24" s="17">
        <f t="shared" si="48"/>
        <v>6</v>
      </c>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c r="BL24" s="44"/>
      <c r="BM24" s="44"/>
      <c r="BN24" s="44"/>
      <c r="BO24" s="44"/>
      <c r="BP24" s="44"/>
      <c r="BQ24" s="44"/>
      <c r="BR24" s="44"/>
      <c r="BS24" s="44"/>
      <c r="BT24" s="44"/>
      <c r="BU24" s="44"/>
      <c r="BV24" s="44"/>
      <c r="BW24" s="44"/>
      <c r="BX24" s="44"/>
      <c r="BY24" s="44"/>
      <c r="BZ24" s="44"/>
      <c r="CA24" s="44"/>
      <c r="CB24" s="44"/>
      <c r="CC24" s="44"/>
      <c r="CD24" s="44"/>
      <c r="CE24" s="44"/>
      <c r="CF24" s="44"/>
      <c r="CG24" s="44"/>
      <c r="CH24" s="44"/>
      <c r="CI24" s="44"/>
      <c r="CJ24" s="44"/>
      <c r="CK24" s="44"/>
      <c r="CL24" s="44"/>
      <c r="CM24" s="44"/>
      <c r="CN24" s="44"/>
      <c r="CO24" s="44"/>
      <c r="CP24" s="44"/>
      <c r="CQ24" s="44"/>
      <c r="CR24" s="44"/>
      <c r="CS24" s="44"/>
      <c r="CT24" s="44"/>
      <c r="CU24" s="44"/>
    </row>
    <row r="25" spans="1:99" s="3" customFormat="1" ht="30" customHeight="1" thickBot="1" x14ac:dyDescent="0.4">
      <c r="A25" s="58"/>
      <c r="B25" s="80" t="s">
        <v>29</v>
      </c>
      <c r="C25" s="74"/>
      <c r="D25" s="32"/>
      <c r="E25" s="66">
        <f>F24+1</f>
        <v>45940</v>
      </c>
      <c r="F25" s="66">
        <f>E25+4</f>
        <v>45944</v>
      </c>
      <c r="G25" s="17"/>
      <c r="H25" s="17">
        <f t="shared" si="48"/>
        <v>5</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c r="BN25" s="44"/>
      <c r="BO25" s="44"/>
      <c r="BP25" s="44"/>
      <c r="BQ25" s="44"/>
      <c r="BR25" s="44"/>
      <c r="BS25" s="44"/>
      <c r="BT25" s="44"/>
      <c r="BU25" s="44"/>
      <c r="BV25" s="44"/>
      <c r="BW25" s="44"/>
      <c r="BX25" s="44"/>
      <c r="BY25" s="44"/>
      <c r="BZ25" s="44"/>
      <c r="CA25" s="44"/>
      <c r="CB25" s="44"/>
      <c r="CC25" s="44"/>
      <c r="CD25" s="44"/>
      <c r="CE25" s="44"/>
      <c r="CF25" s="44"/>
      <c r="CG25" s="44"/>
      <c r="CH25" s="44"/>
      <c r="CI25" s="44"/>
      <c r="CJ25" s="44"/>
      <c r="CK25" s="44"/>
      <c r="CL25" s="44"/>
      <c r="CM25" s="44"/>
      <c r="CN25" s="44"/>
      <c r="CO25" s="44"/>
      <c r="CP25" s="44"/>
      <c r="CQ25" s="44"/>
      <c r="CR25" s="44"/>
      <c r="CS25" s="44"/>
      <c r="CT25" s="44"/>
      <c r="CU25" s="44"/>
    </row>
    <row r="26" spans="1:99" s="3" customFormat="1" ht="30" customHeight="1" thickBot="1" x14ac:dyDescent="0.4">
      <c r="A26" s="58"/>
      <c r="B26" s="80" t="s">
        <v>24</v>
      </c>
      <c r="C26" s="74"/>
      <c r="D26" s="32"/>
      <c r="E26" s="66">
        <f>E25+5</f>
        <v>45945</v>
      </c>
      <c r="F26" s="66">
        <f>E26+5</f>
        <v>45950</v>
      </c>
      <c r="G26" s="17"/>
      <c r="H26" s="17">
        <f t="shared" si="48"/>
        <v>6</v>
      </c>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c r="AW26" s="44"/>
      <c r="AX26" s="44"/>
      <c r="AY26" s="44"/>
      <c r="AZ26" s="44"/>
      <c r="BA26" s="44"/>
      <c r="BB26" s="44"/>
      <c r="BC26" s="44"/>
      <c r="BD26" s="44"/>
      <c r="BE26" s="44"/>
      <c r="BF26" s="44"/>
      <c r="BG26" s="44"/>
      <c r="BH26" s="44"/>
      <c r="BI26" s="44"/>
      <c r="BJ26" s="44"/>
      <c r="BK26" s="44"/>
      <c r="BL26" s="44"/>
      <c r="BM26" s="44"/>
      <c r="BN26" s="44"/>
      <c r="BO26" s="44"/>
      <c r="BP26" s="44"/>
      <c r="BQ26" s="44"/>
      <c r="BR26" s="44"/>
      <c r="BS26" s="44"/>
      <c r="BT26" s="44"/>
      <c r="BU26" s="44"/>
      <c r="BV26" s="44"/>
      <c r="BW26" s="44"/>
      <c r="BX26" s="44"/>
      <c r="BY26" s="44"/>
      <c r="BZ26" s="44"/>
      <c r="CA26" s="44"/>
      <c r="CB26" s="44"/>
      <c r="CC26" s="44"/>
      <c r="CD26" s="44"/>
      <c r="CE26" s="44"/>
      <c r="CF26" s="44"/>
      <c r="CG26" s="44"/>
      <c r="CH26" s="44"/>
      <c r="CI26" s="44"/>
      <c r="CJ26" s="44"/>
      <c r="CK26" s="44"/>
      <c r="CL26" s="44"/>
      <c r="CM26" s="44"/>
      <c r="CN26" s="44"/>
      <c r="CO26" s="44"/>
      <c r="CP26" s="44"/>
      <c r="CQ26" s="44"/>
      <c r="CR26" s="44"/>
      <c r="CS26" s="44"/>
      <c r="CT26" s="44"/>
      <c r="CU26" s="44"/>
    </row>
    <row r="27" spans="1:99" s="3" customFormat="1" ht="30" customHeight="1" thickBot="1" x14ac:dyDescent="0.4">
      <c r="A27" s="58"/>
      <c r="B27" s="80" t="s">
        <v>25</v>
      </c>
      <c r="C27" s="74"/>
      <c r="D27" s="32"/>
      <c r="E27" s="66">
        <f>F26+1</f>
        <v>45951</v>
      </c>
      <c r="F27" s="66">
        <f>E27+4</f>
        <v>45955</v>
      </c>
      <c r="G27" s="17"/>
      <c r="H27" s="17">
        <f t="shared" si="48"/>
        <v>5</v>
      </c>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c r="BL27" s="44"/>
      <c r="BM27" s="44"/>
      <c r="BN27" s="44"/>
      <c r="BO27" s="44"/>
      <c r="BP27" s="44"/>
      <c r="BQ27" s="44"/>
      <c r="BR27" s="44"/>
      <c r="BS27" s="44"/>
      <c r="BT27" s="44"/>
      <c r="BU27" s="44"/>
      <c r="BV27" s="44"/>
      <c r="BW27" s="44"/>
      <c r="BX27" s="44"/>
      <c r="BY27" s="44"/>
      <c r="BZ27" s="44"/>
      <c r="CA27" s="44"/>
      <c r="CB27" s="44"/>
      <c r="CC27" s="44"/>
      <c r="CD27" s="44"/>
      <c r="CE27" s="44"/>
      <c r="CF27" s="44"/>
      <c r="CG27" s="44"/>
      <c r="CH27" s="44"/>
      <c r="CI27" s="44"/>
      <c r="CJ27" s="44"/>
      <c r="CK27" s="44"/>
      <c r="CL27" s="44"/>
      <c r="CM27" s="44"/>
      <c r="CN27" s="44"/>
      <c r="CO27" s="44"/>
      <c r="CP27" s="44"/>
      <c r="CQ27" s="44"/>
      <c r="CR27" s="44"/>
      <c r="CS27" s="44"/>
      <c r="CT27" s="44"/>
      <c r="CU27" s="44"/>
    </row>
    <row r="28" spans="1:99" s="3" customFormat="1" ht="30" customHeight="1" thickBot="1" x14ac:dyDescent="0.4">
      <c r="A28" s="58"/>
      <c r="B28" s="80" t="s">
        <v>26</v>
      </c>
      <c r="C28" s="74"/>
      <c r="D28" s="32"/>
      <c r="E28" s="66">
        <f>E26</f>
        <v>45945</v>
      </c>
      <c r="F28" s="66">
        <f>E28+4</f>
        <v>45949</v>
      </c>
      <c r="G28" s="17"/>
      <c r="H28" s="17">
        <f>IF(OR(ISBLANK(task_start),ISBLANK(task_end)),"",task_end-task_start+1)</f>
        <v>5</v>
      </c>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c r="AV28" s="44"/>
      <c r="AW28" s="44"/>
      <c r="AX28" s="44"/>
      <c r="AY28" s="44"/>
      <c r="AZ28" s="44"/>
      <c r="BA28" s="44"/>
      <c r="BB28" s="44"/>
      <c r="BC28" s="44"/>
      <c r="BD28" s="44"/>
      <c r="BE28" s="44"/>
      <c r="BF28" s="44"/>
      <c r="BG28" s="44"/>
      <c r="BH28" s="44"/>
      <c r="BI28" s="44"/>
      <c r="BJ28" s="44"/>
      <c r="BK28" s="44"/>
      <c r="BL28" s="44"/>
      <c r="BM28" s="44"/>
      <c r="BN28" s="44"/>
      <c r="BO28" s="44"/>
      <c r="BP28" s="44"/>
      <c r="BQ28" s="44"/>
      <c r="BR28" s="44"/>
      <c r="BS28" s="44"/>
      <c r="BT28" s="44"/>
      <c r="BU28" s="44"/>
      <c r="BV28" s="44"/>
      <c r="BW28" s="44"/>
      <c r="BX28" s="44"/>
      <c r="BY28" s="44"/>
      <c r="BZ28" s="44"/>
      <c r="CA28" s="44"/>
      <c r="CB28" s="44"/>
      <c r="CC28" s="44"/>
      <c r="CD28" s="44"/>
      <c r="CE28" s="44"/>
      <c r="CF28" s="44"/>
      <c r="CG28" s="44"/>
      <c r="CH28" s="44"/>
      <c r="CI28" s="44"/>
      <c r="CJ28" s="44"/>
      <c r="CK28" s="44"/>
      <c r="CL28" s="44"/>
      <c r="CM28" s="44"/>
      <c r="CN28" s="44"/>
      <c r="CO28" s="44"/>
      <c r="CP28" s="44"/>
      <c r="CQ28" s="44"/>
      <c r="CR28" s="44"/>
      <c r="CS28" s="44"/>
      <c r="CT28" s="44"/>
      <c r="CU28" s="44"/>
    </row>
    <row r="29" spans="1:99" s="3" customFormat="1" ht="30" customHeight="1" thickBot="1" x14ac:dyDescent="0.4">
      <c r="A29" s="58" t="s">
        <v>30</v>
      </c>
      <c r="B29" s="33" t="s">
        <v>32</v>
      </c>
      <c r="C29" s="75"/>
      <c r="D29" s="34"/>
      <c r="E29" s="35"/>
      <c r="F29" s="36"/>
      <c r="G29" s="17"/>
      <c r="H29" s="17" t="str">
        <f t="shared" si="48"/>
        <v/>
      </c>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c r="BL29" s="44"/>
      <c r="BM29" s="44"/>
      <c r="BN29" s="44"/>
      <c r="BO29" s="44"/>
      <c r="BP29" s="44"/>
      <c r="BQ29" s="44"/>
      <c r="BR29" s="44"/>
      <c r="BS29" s="44"/>
      <c r="BT29" s="44"/>
      <c r="BU29" s="44"/>
      <c r="BV29" s="44"/>
      <c r="BW29" s="44"/>
      <c r="BX29" s="44"/>
      <c r="BY29" s="44"/>
      <c r="BZ29" s="44"/>
      <c r="CA29" s="44"/>
      <c r="CB29" s="44"/>
      <c r="CC29" s="44"/>
      <c r="CD29" s="44"/>
      <c r="CE29" s="44"/>
      <c r="CF29" s="44"/>
      <c r="CG29" s="44"/>
      <c r="CH29" s="44"/>
      <c r="CI29" s="44"/>
      <c r="CJ29" s="44"/>
      <c r="CK29" s="44"/>
      <c r="CL29" s="44"/>
      <c r="CM29" s="44"/>
      <c r="CN29" s="44"/>
      <c r="CO29" s="44"/>
      <c r="CP29" s="44"/>
      <c r="CQ29" s="44"/>
      <c r="CR29" s="44"/>
      <c r="CS29" s="44"/>
      <c r="CT29" s="44"/>
      <c r="CU29" s="44"/>
    </row>
    <row r="30" spans="1:99" s="3" customFormat="1" ht="30" customHeight="1" thickBot="1" x14ac:dyDescent="0.4">
      <c r="A30" s="58"/>
      <c r="B30" s="81" t="s">
        <v>28</v>
      </c>
      <c r="C30" s="76"/>
      <c r="D30" s="37"/>
      <c r="E30" s="67" t="s">
        <v>33</v>
      </c>
      <c r="F30" s="67" t="s">
        <v>33</v>
      </c>
      <c r="G30" s="17"/>
      <c r="H30" s="17" t="e">
        <f>IF(OR(ISBLANK(task_start),ISBLANK(task_end)),"",task_end-task_start+1)</f>
        <v>#VALUE!</v>
      </c>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c r="AV30" s="44"/>
      <c r="AW30" s="44"/>
      <c r="AX30" s="44"/>
      <c r="AY30" s="44"/>
      <c r="AZ30" s="44"/>
      <c r="BA30" s="44"/>
      <c r="BB30" s="44"/>
      <c r="BC30" s="44"/>
      <c r="BD30" s="44"/>
      <c r="BE30" s="44"/>
      <c r="BF30" s="44"/>
      <c r="BG30" s="44"/>
      <c r="BH30" s="44"/>
      <c r="BI30" s="44"/>
      <c r="BJ30" s="44"/>
      <c r="BK30" s="44"/>
      <c r="BL30" s="44"/>
      <c r="BM30" s="44"/>
      <c r="BN30" s="44"/>
      <c r="BO30" s="44"/>
      <c r="BP30" s="44"/>
      <c r="BQ30" s="44"/>
      <c r="BR30" s="44"/>
      <c r="BS30" s="44"/>
      <c r="BT30" s="44"/>
      <c r="BU30" s="44"/>
      <c r="BV30" s="44"/>
      <c r="BW30" s="44"/>
      <c r="BX30" s="44"/>
      <c r="BY30" s="44"/>
      <c r="BZ30" s="44"/>
      <c r="CA30" s="44"/>
      <c r="CB30" s="44"/>
      <c r="CC30" s="44"/>
      <c r="CD30" s="44"/>
      <c r="CE30" s="44"/>
      <c r="CF30" s="44"/>
      <c r="CG30" s="44"/>
      <c r="CH30" s="44"/>
      <c r="CI30" s="44"/>
      <c r="CJ30" s="44"/>
      <c r="CK30" s="44"/>
      <c r="CL30" s="44"/>
      <c r="CM30" s="44"/>
      <c r="CN30" s="44"/>
      <c r="CO30" s="44"/>
      <c r="CP30" s="44"/>
      <c r="CQ30" s="44"/>
      <c r="CR30" s="44"/>
      <c r="CS30" s="44"/>
      <c r="CT30" s="44"/>
      <c r="CU30" s="44"/>
    </row>
    <row r="31" spans="1:99" s="3" customFormat="1" ht="30" customHeight="1" thickBot="1" x14ac:dyDescent="0.4">
      <c r="A31" s="58"/>
      <c r="B31" s="81" t="s">
        <v>29</v>
      </c>
      <c r="C31" s="76"/>
      <c r="D31" s="37"/>
      <c r="E31" s="67" t="s">
        <v>33</v>
      </c>
      <c r="F31" s="67" t="s">
        <v>33</v>
      </c>
      <c r="G31" s="17"/>
      <c r="H31" s="17" t="e">
        <f t="shared" si="48"/>
        <v>#VALUE!</v>
      </c>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c r="AS31" s="44"/>
      <c r="AT31" s="44"/>
      <c r="AU31" s="44"/>
      <c r="AV31" s="44"/>
      <c r="AW31" s="44"/>
      <c r="AX31" s="44"/>
      <c r="AY31" s="44"/>
      <c r="AZ31" s="44"/>
      <c r="BA31" s="44"/>
      <c r="BB31" s="44"/>
      <c r="BC31" s="44"/>
      <c r="BD31" s="44"/>
      <c r="BE31" s="44"/>
      <c r="BF31" s="44"/>
      <c r="BG31" s="44"/>
      <c r="BH31" s="44"/>
      <c r="BI31" s="44"/>
      <c r="BJ31" s="44"/>
      <c r="BK31" s="44"/>
      <c r="BL31" s="44"/>
      <c r="BM31" s="44"/>
      <c r="BN31" s="44"/>
      <c r="BO31" s="44"/>
      <c r="BP31" s="44"/>
      <c r="BQ31" s="44"/>
      <c r="BR31" s="44"/>
      <c r="BS31" s="44"/>
      <c r="BT31" s="44"/>
      <c r="BU31" s="44"/>
      <c r="BV31" s="44"/>
      <c r="BW31" s="44"/>
      <c r="BX31" s="44"/>
      <c r="BY31" s="44"/>
      <c r="BZ31" s="44"/>
      <c r="CA31" s="44"/>
      <c r="CB31" s="44"/>
      <c r="CC31" s="44"/>
      <c r="CD31" s="44"/>
      <c r="CE31" s="44"/>
      <c r="CF31" s="44"/>
      <c r="CG31" s="44"/>
      <c r="CH31" s="44"/>
      <c r="CI31" s="44"/>
      <c r="CJ31" s="44"/>
      <c r="CK31" s="44"/>
      <c r="CL31" s="44"/>
      <c r="CM31" s="44"/>
      <c r="CN31" s="44"/>
      <c r="CO31" s="44"/>
      <c r="CP31" s="44"/>
      <c r="CQ31" s="44"/>
      <c r="CR31" s="44"/>
      <c r="CS31" s="44"/>
      <c r="CT31" s="44"/>
      <c r="CU31" s="44"/>
    </row>
    <row r="32" spans="1:99" s="3" customFormat="1" ht="30" customHeight="1" thickBot="1" x14ac:dyDescent="0.4">
      <c r="A32" s="58"/>
      <c r="B32" s="81" t="s">
        <v>24</v>
      </c>
      <c r="C32" s="76"/>
      <c r="D32" s="37"/>
      <c r="E32" s="67" t="s">
        <v>33</v>
      </c>
      <c r="F32" s="67" t="s">
        <v>33</v>
      </c>
      <c r="G32" s="17"/>
      <c r="H32" s="17" t="e">
        <f t="shared" si="48"/>
        <v>#VALUE!</v>
      </c>
      <c r="I32" s="44"/>
      <c r="J32" s="44"/>
      <c r="K32" s="44"/>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c r="AV32" s="44"/>
      <c r="AW32" s="44"/>
      <c r="AX32" s="44"/>
      <c r="AY32" s="44"/>
      <c r="AZ32" s="44"/>
      <c r="BA32" s="44"/>
      <c r="BB32" s="44"/>
      <c r="BC32" s="44"/>
      <c r="BD32" s="44"/>
      <c r="BE32" s="44"/>
      <c r="BF32" s="44"/>
      <c r="BG32" s="44"/>
      <c r="BH32" s="44"/>
      <c r="BI32" s="44"/>
      <c r="BJ32" s="44"/>
      <c r="BK32" s="44"/>
      <c r="BL32" s="44"/>
      <c r="BM32" s="44"/>
      <c r="BN32" s="44"/>
      <c r="BO32" s="44"/>
      <c r="BP32" s="44"/>
      <c r="BQ32" s="44"/>
      <c r="BR32" s="44"/>
      <c r="BS32" s="44"/>
      <c r="BT32" s="44"/>
      <c r="BU32" s="44"/>
      <c r="BV32" s="44"/>
      <c r="BW32" s="44"/>
      <c r="BX32" s="44"/>
      <c r="BY32" s="44"/>
      <c r="BZ32" s="44"/>
      <c r="CA32" s="44"/>
      <c r="CB32" s="44"/>
      <c r="CC32" s="44"/>
      <c r="CD32" s="44"/>
      <c r="CE32" s="44"/>
      <c r="CF32" s="44"/>
      <c r="CG32" s="44"/>
      <c r="CH32" s="44"/>
      <c r="CI32" s="44"/>
      <c r="CJ32" s="44"/>
      <c r="CK32" s="44"/>
      <c r="CL32" s="44"/>
      <c r="CM32" s="44"/>
      <c r="CN32" s="44"/>
      <c r="CO32" s="44"/>
      <c r="CP32" s="44"/>
      <c r="CQ32" s="44"/>
      <c r="CR32" s="44"/>
      <c r="CS32" s="44"/>
      <c r="CT32" s="44"/>
      <c r="CU32" s="44"/>
    </row>
    <row r="33" spans="1:99" s="3" customFormat="1" ht="30" customHeight="1" thickBot="1" x14ac:dyDescent="0.4">
      <c r="A33" s="58"/>
      <c r="B33" s="81" t="s">
        <v>25</v>
      </c>
      <c r="C33" s="76"/>
      <c r="D33" s="37"/>
      <c r="E33" s="67" t="s">
        <v>33</v>
      </c>
      <c r="F33" s="67" t="s">
        <v>33</v>
      </c>
      <c r="G33" s="17"/>
      <c r="H33" s="17" t="e">
        <f t="shared" si="48"/>
        <v>#VALUE!</v>
      </c>
      <c r="I33" s="44"/>
      <c r="J33" s="44"/>
      <c r="K33" s="44"/>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c r="AS33" s="44"/>
      <c r="AT33" s="44"/>
      <c r="AU33" s="44"/>
      <c r="AV33" s="44"/>
      <c r="AW33" s="44"/>
      <c r="AX33" s="44"/>
      <c r="AY33" s="44"/>
      <c r="AZ33" s="44"/>
      <c r="BA33" s="44"/>
      <c r="BB33" s="44"/>
      <c r="BC33" s="44"/>
      <c r="BD33" s="44"/>
      <c r="BE33" s="44"/>
      <c r="BF33" s="44"/>
      <c r="BG33" s="44"/>
      <c r="BH33" s="44"/>
      <c r="BI33" s="44"/>
      <c r="BJ33" s="44"/>
      <c r="BK33" s="44"/>
      <c r="BL33" s="44"/>
      <c r="BM33" s="44"/>
      <c r="BN33" s="44"/>
      <c r="BO33" s="44"/>
      <c r="BP33" s="44"/>
      <c r="BQ33" s="44"/>
      <c r="BR33" s="44"/>
      <c r="BS33" s="44"/>
      <c r="BT33" s="44"/>
      <c r="BU33" s="44"/>
      <c r="BV33" s="44"/>
      <c r="BW33" s="44"/>
      <c r="BX33" s="44"/>
      <c r="BY33" s="44"/>
      <c r="BZ33" s="44"/>
      <c r="CA33" s="44"/>
      <c r="CB33" s="44"/>
      <c r="CC33" s="44"/>
      <c r="CD33" s="44"/>
      <c r="CE33" s="44"/>
      <c r="CF33" s="44"/>
      <c r="CG33" s="44"/>
      <c r="CH33" s="44"/>
      <c r="CI33" s="44"/>
      <c r="CJ33" s="44"/>
      <c r="CK33" s="44"/>
      <c r="CL33" s="44"/>
      <c r="CM33" s="44"/>
      <c r="CN33" s="44"/>
      <c r="CO33" s="44"/>
      <c r="CP33" s="44"/>
      <c r="CQ33" s="44"/>
      <c r="CR33" s="44"/>
      <c r="CS33" s="44"/>
      <c r="CT33" s="44"/>
      <c r="CU33" s="44"/>
    </row>
    <row r="34" spans="1:99" s="3" customFormat="1" ht="30" customHeight="1" thickBot="1" x14ac:dyDescent="0.4">
      <c r="A34" s="58"/>
      <c r="B34" s="81" t="s">
        <v>26</v>
      </c>
      <c r="C34" s="76"/>
      <c r="D34" s="37"/>
      <c r="E34" s="67" t="s">
        <v>33</v>
      </c>
      <c r="F34" s="67" t="s">
        <v>33</v>
      </c>
      <c r="G34" s="17"/>
      <c r="H34" s="17" t="e">
        <f t="shared" si="48"/>
        <v>#VALUE!</v>
      </c>
      <c r="I34" s="44"/>
      <c r="J34" s="44"/>
      <c r="K34" s="44"/>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c r="AV34" s="44"/>
      <c r="AW34" s="44"/>
      <c r="AX34" s="44"/>
      <c r="AY34" s="44"/>
      <c r="AZ34" s="44"/>
      <c r="BA34" s="44"/>
      <c r="BB34" s="44"/>
      <c r="BC34" s="44"/>
      <c r="BD34" s="44"/>
      <c r="BE34" s="44"/>
      <c r="BF34" s="44"/>
      <c r="BG34" s="44"/>
      <c r="BH34" s="44"/>
      <c r="BI34" s="44"/>
      <c r="BJ34" s="44"/>
      <c r="BK34" s="44"/>
      <c r="BL34" s="44"/>
      <c r="BM34" s="44"/>
      <c r="BN34" s="44"/>
      <c r="BO34" s="44"/>
      <c r="BP34" s="44"/>
      <c r="BQ34" s="44"/>
      <c r="BR34" s="44"/>
      <c r="BS34" s="44"/>
      <c r="BT34" s="44"/>
      <c r="BU34" s="44"/>
      <c r="BV34" s="44"/>
      <c r="BW34" s="44"/>
      <c r="BX34" s="44"/>
      <c r="BY34" s="44"/>
      <c r="BZ34" s="44"/>
      <c r="CA34" s="44"/>
      <c r="CB34" s="44"/>
      <c r="CC34" s="44"/>
      <c r="CD34" s="44"/>
      <c r="CE34" s="44"/>
      <c r="CF34" s="44"/>
      <c r="CG34" s="44"/>
      <c r="CH34" s="44"/>
      <c r="CI34" s="44"/>
      <c r="CJ34" s="44"/>
      <c r="CK34" s="44"/>
      <c r="CL34" s="44"/>
      <c r="CM34" s="44"/>
      <c r="CN34" s="44"/>
      <c r="CO34" s="44"/>
      <c r="CP34" s="44"/>
      <c r="CQ34" s="44"/>
      <c r="CR34" s="44"/>
      <c r="CS34" s="44"/>
      <c r="CT34" s="44"/>
      <c r="CU34" s="44"/>
    </row>
    <row r="35" spans="1:99" s="3" customFormat="1" ht="30" customHeight="1" thickBot="1" x14ac:dyDescent="0.4">
      <c r="A35" s="58" t="s">
        <v>34</v>
      </c>
      <c r="B35" s="82"/>
      <c r="C35" s="77"/>
      <c r="D35" s="16"/>
      <c r="E35" s="68"/>
      <c r="F35" s="68"/>
      <c r="G35" s="17"/>
      <c r="H35" s="17" t="str">
        <f t="shared" si="48"/>
        <v/>
      </c>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c r="AS35" s="44"/>
      <c r="AT35" s="44"/>
      <c r="AU35" s="44"/>
      <c r="AV35" s="44"/>
      <c r="AW35" s="44"/>
      <c r="AX35" s="44"/>
      <c r="AY35" s="44"/>
      <c r="AZ35" s="44"/>
      <c r="BA35" s="44"/>
      <c r="BB35" s="44"/>
      <c r="BC35" s="44"/>
      <c r="BD35" s="44"/>
      <c r="BE35" s="44"/>
      <c r="BF35" s="44"/>
      <c r="BG35" s="44"/>
      <c r="BH35" s="44"/>
      <c r="BI35" s="44"/>
      <c r="BJ35" s="44"/>
      <c r="BK35" s="44"/>
      <c r="BL35" s="44"/>
      <c r="BM35" s="44"/>
      <c r="BN35" s="44"/>
      <c r="BO35" s="44"/>
      <c r="BP35" s="44"/>
      <c r="BQ35" s="44"/>
      <c r="BR35" s="44"/>
      <c r="BS35" s="44"/>
      <c r="BT35" s="44"/>
      <c r="BU35" s="44"/>
      <c r="BV35" s="44"/>
      <c r="BW35" s="44"/>
      <c r="BX35" s="44"/>
      <c r="BY35" s="44"/>
      <c r="BZ35" s="44"/>
      <c r="CA35" s="44"/>
      <c r="CB35" s="44"/>
      <c r="CC35" s="44"/>
      <c r="CD35" s="44"/>
      <c r="CE35" s="44"/>
      <c r="CF35" s="44"/>
      <c r="CG35" s="44"/>
      <c r="CH35" s="44"/>
      <c r="CI35" s="44"/>
      <c r="CJ35" s="44"/>
      <c r="CK35" s="44"/>
      <c r="CL35" s="44"/>
      <c r="CM35" s="44"/>
      <c r="CN35" s="44"/>
      <c r="CO35" s="44"/>
      <c r="CP35" s="44"/>
      <c r="CQ35" s="44"/>
      <c r="CR35" s="44"/>
      <c r="CS35" s="44"/>
      <c r="CT35" s="44"/>
      <c r="CU35" s="44"/>
    </row>
    <row r="36" spans="1:99" s="3" customFormat="1" ht="30" customHeight="1" thickBot="1" x14ac:dyDescent="0.4">
      <c r="A36" s="59" t="s">
        <v>35</v>
      </c>
      <c r="B36" s="38" t="s">
        <v>36</v>
      </c>
      <c r="C36" s="39"/>
      <c r="D36" s="40"/>
      <c r="E36" s="41"/>
      <c r="F36" s="42"/>
      <c r="G36" s="43"/>
      <c r="H36" s="43" t="str">
        <f t="shared" si="48"/>
        <v/>
      </c>
      <c r="I36" s="46"/>
      <c r="J36" s="46"/>
      <c r="K36" s="46"/>
      <c r="L36" s="46"/>
      <c r="M36" s="46"/>
      <c r="N36" s="46"/>
      <c r="O36" s="46"/>
      <c r="P36" s="46"/>
      <c r="Q36" s="46"/>
      <c r="R36" s="46"/>
      <c r="S36" s="46"/>
      <c r="T36" s="46"/>
      <c r="U36" s="46"/>
      <c r="V36" s="46"/>
      <c r="W36" s="46"/>
      <c r="X36" s="46"/>
      <c r="Y36" s="46"/>
      <c r="Z36" s="46"/>
      <c r="AA36" s="46"/>
      <c r="AB36" s="46"/>
      <c r="AC36" s="46"/>
      <c r="AD36" s="46"/>
      <c r="AE36" s="46"/>
      <c r="AF36" s="46"/>
      <c r="AG36" s="46"/>
      <c r="AH36" s="46"/>
      <c r="AI36" s="46"/>
      <c r="AJ36" s="46"/>
      <c r="AK36" s="46"/>
      <c r="AL36" s="46"/>
      <c r="AM36" s="46"/>
      <c r="AN36" s="46"/>
      <c r="AO36" s="46"/>
      <c r="AP36" s="46"/>
      <c r="AQ36" s="46"/>
      <c r="AR36" s="46"/>
      <c r="AS36" s="46"/>
      <c r="AT36" s="46"/>
      <c r="AU36" s="46"/>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c r="CU36" s="46"/>
    </row>
    <row r="37" spans="1:99" ht="30" customHeight="1" x14ac:dyDescent="0.35">
      <c r="G37" s="6"/>
    </row>
    <row r="38" spans="1:99" ht="30" customHeight="1" x14ac:dyDescent="0.35">
      <c r="C38" s="14"/>
      <c r="F38" s="60"/>
    </row>
    <row r="39" spans="1:99" ht="30" customHeight="1" x14ac:dyDescent="0.35">
      <c r="C39" s="15"/>
    </row>
  </sheetData>
  <mergeCells count="17">
    <mergeCell ref="C3:D3"/>
    <mergeCell ref="C4:D4"/>
    <mergeCell ref="B5:G5"/>
    <mergeCell ref="AK4:AQ4"/>
    <mergeCell ref="AR4:AX4"/>
    <mergeCell ref="AY4:BE4"/>
    <mergeCell ref="BF4:BL4"/>
    <mergeCell ref="E3:F3"/>
    <mergeCell ref="I4:O4"/>
    <mergeCell ref="P4:V4"/>
    <mergeCell ref="W4:AC4"/>
    <mergeCell ref="AD4:AJ4"/>
    <mergeCell ref="BM4:BS4"/>
    <mergeCell ref="BT4:BZ4"/>
    <mergeCell ref="CA4:CG4"/>
    <mergeCell ref="CH4:CN4"/>
    <mergeCell ref="CO4:CU4"/>
  </mergeCells>
  <conditionalFormatting sqref="D7:D36">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2 BM8:CU12 I13:CU36 CH5:CT5 BM5:CG6 CH6:CU6">
    <cfRule type="expression" dxfId="3" priority="33">
      <formula>AND(TODAY()&gt;=I$5,TODAY()&lt;J$5)</formula>
    </cfRule>
  </conditionalFormatting>
  <conditionalFormatting sqref="I7:BL12 BM8:CU12 I13:CU36">
    <cfRule type="expression" dxfId="2" priority="27">
      <formula>AND(task_start&lt;=I$5,ROUNDDOWN((task_end-task_start+1)*task_progress,0)+task_start-1&gt;=I$5)</formula>
    </cfRule>
    <cfRule type="expression" dxfId="1" priority="28" stopIfTrue="1">
      <formula>AND(task_end&gt;=I$5,task_start&lt;J$5)</formula>
    </cfRule>
  </conditionalFormatting>
  <conditionalFormatting sqref="CU5">
    <cfRule type="expression" dxfId="0" priority="35">
      <formula>AND(TODAY()&gt;=CU$5,TODAY()&lt;#REF!)</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F25:F26 E26"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9" zoomScaleNormal="100" workbookViewId="0"/>
  </sheetViews>
  <sheetFormatPr defaultColWidth="9.1796875" defaultRowHeight="13" x14ac:dyDescent="0.3"/>
  <cols>
    <col min="1" max="1" width="87.1796875" style="48" customWidth="1"/>
    <col min="2" max="16384" width="9.1796875" style="2"/>
  </cols>
  <sheetData>
    <row r="1" spans="1:2" ht="46.5" customHeight="1" x14ac:dyDescent="0.3"/>
    <row r="2" spans="1:2" s="50" customFormat="1" ht="15.5" x14ac:dyDescent="0.35">
      <c r="A2" s="49" t="s">
        <v>37</v>
      </c>
      <c r="B2" s="49"/>
    </row>
    <row r="3" spans="1:2" s="54" customFormat="1" ht="27" customHeight="1" x14ac:dyDescent="0.35">
      <c r="A3" s="55" t="s">
        <v>38</v>
      </c>
      <c r="B3" s="55"/>
    </row>
    <row r="4" spans="1:2" s="51" customFormat="1" ht="26" x14ac:dyDescent="0.6">
      <c r="A4" s="52" t="s">
        <v>39</v>
      </c>
    </row>
    <row r="5" spans="1:2" ht="74.25" customHeight="1" x14ac:dyDescent="0.3">
      <c r="A5" s="53" t="s">
        <v>40</v>
      </c>
    </row>
    <row r="6" spans="1:2" ht="26.25" customHeight="1" x14ac:dyDescent="0.3">
      <c r="A6" s="52" t="s">
        <v>41</v>
      </c>
    </row>
    <row r="7" spans="1:2" s="48" customFormat="1" ht="205" customHeight="1" x14ac:dyDescent="0.35">
      <c r="A7" s="57" t="s">
        <v>42</v>
      </c>
    </row>
    <row r="8" spans="1:2" s="51" customFormat="1" ht="26" x14ac:dyDescent="0.6">
      <c r="A8" s="52" t="s">
        <v>43</v>
      </c>
    </row>
    <row r="9" spans="1:2" ht="58" x14ac:dyDescent="0.3">
      <c r="A9" s="53" t="s">
        <v>44</v>
      </c>
    </row>
    <row r="10" spans="1:2" s="48" customFormat="1" ht="28" customHeight="1" x14ac:dyDescent="0.35">
      <c r="A10" s="56" t="s">
        <v>45</v>
      </c>
    </row>
    <row r="11" spans="1:2" s="51" customFormat="1" ht="26" x14ac:dyDescent="0.6">
      <c r="A11" s="52" t="s">
        <v>46</v>
      </c>
    </row>
    <row r="12" spans="1:2" ht="29" x14ac:dyDescent="0.3">
      <c r="A12" s="53" t="s">
        <v>47</v>
      </c>
    </row>
    <row r="13" spans="1:2" s="48" customFormat="1" ht="28" customHeight="1" x14ac:dyDescent="0.35">
      <c r="A13" s="56" t="s">
        <v>48</v>
      </c>
    </row>
    <row r="14" spans="1:2" s="51" customFormat="1" ht="26" x14ac:dyDescent="0.6">
      <c r="A14" s="52" t="s">
        <v>49</v>
      </c>
    </row>
    <row r="15" spans="1:2" ht="75" customHeight="1" x14ac:dyDescent="0.3">
      <c r="A15" s="53" t="s">
        <v>50</v>
      </c>
    </row>
    <row r="16" spans="1:2" ht="72.5" x14ac:dyDescent="0.3">
      <c r="A16" s="53" t="s">
        <v>51</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2019-03-19T17:17:03Z</dcterms:created>
  <dcterms:modified xsi:type="dcterms:W3CDTF">2025-09-26T09:17:33Z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0d9bad3-6dac-4e9a-89a3-89f3b8d247b2_Enabled">
    <vt:lpwstr>true</vt:lpwstr>
  </property>
  <property fmtid="{D5CDD505-2E9C-101B-9397-08002B2CF9AE}" pid="3" name="MSIP_Label_10d9bad3-6dac-4e9a-89a3-89f3b8d247b2_SetDate">
    <vt:lpwstr>2021-10-01T11:59:58Z</vt:lpwstr>
  </property>
  <property fmtid="{D5CDD505-2E9C-101B-9397-08002B2CF9AE}" pid="4" name="MSIP_Label_10d9bad3-6dac-4e9a-89a3-89f3b8d247b2_Method">
    <vt:lpwstr>Standard</vt:lpwstr>
  </property>
  <property fmtid="{D5CDD505-2E9C-101B-9397-08002B2CF9AE}" pid="5" name="MSIP_Label_10d9bad3-6dac-4e9a-89a3-89f3b8d247b2_Name">
    <vt:lpwstr>10d9bad3-6dac-4e9a-89a3-89f3b8d247b2</vt:lpwstr>
  </property>
  <property fmtid="{D5CDD505-2E9C-101B-9397-08002B2CF9AE}" pid="6" name="MSIP_Label_10d9bad3-6dac-4e9a-89a3-89f3b8d247b2_SiteId">
    <vt:lpwstr>5d1a9f9d-201f-4a10-b983-451cf65cbc1e</vt:lpwstr>
  </property>
  <property fmtid="{D5CDD505-2E9C-101B-9397-08002B2CF9AE}" pid="7" name="MSIP_Label_10d9bad3-6dac-4e9a-89a3-89f3b8d247b2_ActionId">
    <vt:lpwstr>748b7158-7ac6-4baa-a29d-aaee54a35113</vt:lpwstr>
  </property>
  <property fmtid="{D5CDD505-2E9C-101B-9397-08002B2CF9AE}" pid="8" name="MSIP_Label_10d9bad3-6dac-4e9a-89a3-89f3b8d247b2_ContentBits">
    <vt:lpwstr>0</vt:lpwstr>
  </property>
</Properties>
</file>