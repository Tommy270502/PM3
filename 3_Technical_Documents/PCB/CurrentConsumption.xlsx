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gda\Programming\PM1\PM3\3_Technical_Documents\PCB\"/>
    </mc:Choice>
  </mc:AlternateContent>
  <xr:revisionPtr revIDLastSave="0" documentId="13_ncr:1_{B8AAF636-006A-4C15-B3A8-8822AAB0D3EC}" xr6:coauthVersionLast="47" xr6:coauthVersionMax="47" xr10:uidLastSave="{00000000-0000-0000-0000-000000000000}"/>
  <bookViews>
    <workbookView xWindow="-110" yWindow="-110" windowWidth="19420" windowHeight="11500" xr2:uid="{956A7C3C-B1C4-4CD0-ADC8-00BE02AB7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G6" i="1"/>
  <c r="I3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<sst xmlns="http://schemas.openxmlformats.org/spreadsheetml/2006/main" count="14" uniqueCount="14">
  <si>
    <t>STM32+display</t>
  </si>
  <si>
    <t>used</t>
  </si>
  <si>
    <t>remaining</t>
  </si>
  <si>
    <t>Voltage [V]</t>
  </si>
  <si>
    <t>Current[mA]</t>
  </si>
  <si>
    <t>DMX</t>
  </si>
  <si>
    <t>ESP32</t>
  </si>
  <si>
    <t>Power[W]</t>
  </si>
  <si>
    <t>power budget [W]</t>
  </si>
  <si>
    <t>Codec</t>
  </si>
  <si>
    <t>Opamps</t>
  </si>
  <si>
    <t>Opamp mic</t>
  </si>
  <si>
    <t>Headphone amp</t>
  </si>
  <si>
    <t>total current consumption [mA]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</si>
</sst>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0331-0455-47BA-887B-7B1A90659336}">
  <dimension ref="B2:I9"/>
  <sheetViews>
    <sheetView tabSelected="1" zoomScale="115" zoomScaleNormal="115" workbookViewId="0">
      <selection activeCell="G4" sqref="G4"/>
    </sheetView>
  </sheetViews>
  <sheetFormatPr defaultRowHeight="14.5" x14ac:dyDescent="0.35"/>
  <cols>
    <col min="1" max="1" width="11.81640625" bestFit="1" customWidth="1"/>
    <col min="2" max="2" width="14.54296875" bestFit="1" customWidth="1"/>
    <col min="3" max="3" width="12.90625" bestFit="1" customWidth="1"/>
    <col min="4" max="4" width="10.6328125" bestFit="1" customWidth="1"/>
    <col min="5" max="5" width="10.54296875" bestFit="1" customWidth="1"/>
    <col min="6" max="6" width="17.1796875" bestFit="1" customWidth="1"/>
    <col min="7" max="7" width="15.54296875" bestFit="1" customWidth="1"/>
    <col min="8" max="8" width="6.08984375" bestFit="1" customWidth="1"/>
    <col min="9" max="9" width="9.453125" bestFit="1" customWidth="1"/>
  </cols>
  <sheetData>
    <row r="2" spans="2:9" x14ac:dyDescent="0.35">
      <c r="C2" t="s">
        <v>3</v>
      </c>
      <c r="D2" t="s">
        <v>4</v>
      </c>
      <c r="E2" t="s">
        <v>7</v>
      </c>
      <c r="G2" t="s">
        <v>8</v>
      </c>
      <c r="H2" t="s">
        <v>1</v>
      </c>
      <c r="I2" t="s">
        <v>2</v>
      </c>
    </row>
    <row r="3" spans="2:9" x14ac:dyDescent="0.35">
      <c r="B3" t="s">
        <v>0</v>
      </c>
      <c r="C3">
        <v>3.3</v>
      </c>
      <c r="D3">
        <v>200</v>
      </c>
      <c r="E3">
        <f>C3*(D3/1000)</f>
        <v>0.66</v>
      </c>
      <c r="G3">
        <v>2.5</v>
      </c>
      <c r="H3">
        <f>SUM(E3:E9)</f>
        <v>2.3949999999999996</v>
      </c>
      <c r="I3">
        <f>G3-H3</f>
        <v>0.10500000000000043</v>
      </c>
    </row>
    <row r="4" spans="2:9" x14ac:dyDescent="0.35">
      <c r="B4" t="s">
        <v>5</v>
      </c>
      <c r="C4">
        <v>5</v>
      </c>
      <c r="D4">
        <v>20</v>
      </c>
      <c r="E4">
        <f>C4*D4*0.001</f>
        <v>0.1</v>
      </c>
    </row>
    <row r="5" spans="2:9" x14ac:dyDescent="0.35">
      <c r="B5" t="s">
        <v>6</v>
      </c>
      <c r="C5">
        <v>3.3</v>
      </c>
      <c r="D5">
        <v>250</v>
      </c>
      <c r="E5">
        <f>C5*D5*0.001</f>
        <v>0.82500000000000007</v>
      </c>
      <c r="G5" t="s">
        <v>13</v>
      </c>
    </row>
    <row r="6" spans="2:9" x14ac:dyDescent="0.35">
      <c r="B6" t="s">
        <v>9</v>
      </c>
      <c r="C6">
        <v>5</v>
      </c>
      <c r="D6">
        <v>100</v>
      </c>
      <c r="E6">
        <f>C6*D6*0.001</f>
        <v>0.5</v>
      </c>
      <c r="G6">
        <f>SUM(D3:D9)</f>
        <v>632</v>
      </c>
    </row>
    <row r="7" spans="2:9" x14ac:dyDescent="0.35">
      <c r="B7" t="s">
        <v>10</v>
      </c>
      <c r="C7">
        <v>5</v>
      </c>
      <c r="D7">
        <v>30</v>
      </c>
      <c r="E7">
        <f>C7*D7*0.001</f>
        <v>0.15</v>
      </c>
    </row>
    <row r="8" spans="2:9" x14ac:dyDescent="0.35">
      <c r="B8" t="s">
        <v>11</v>
      </c>
      <c r="C8">
        <v>5</v>
      </c>
      <c r="D8">
        <v>2</v>
      </c>
      <c r="E8">
        <f>C8*D8*0.001</f>
        <v>0.01</v>
      </c>
    </row>
    <row r="9" spans="2:9" x14ac:dyDescent="0.35">
      <c r="B9" t="s">
        <v>12</v>
      </c>
      <c r="C9">
        <v>5</v>
      </c>
      <c r="D9">
        <v>30</v>
      </c>
      <c r="E9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 Thomas (perritho)</dc:creator>
  <cp:lastModifiedBy>Grebnevs Bogdans (grebnbog)</cp:lastModifiedBy>
  <dcterms:created xsi:type="dcterms:W3CDTF">2025-10-17T09:25:19Z</dcterms:created>
  <dcterms:modified xsi:type="dcterms:W3CDTF">2025-10-30T11:24:13Z</dcterms:modified>
</cp:coreProperties>
</file>