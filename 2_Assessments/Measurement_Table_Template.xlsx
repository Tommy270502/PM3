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0" documentId="13_ncr:1_{1185AC18-9611-445E-BE0E-EB15C61C57E2}" xr6:coauthVersionLast="47" xr6:coauthVersionMax="47" xr10:uidLastSave="{00000000-0000-0000-0000-000000000000}"/>
  <bookViews>
    <workbookView xWindow="-110" yWindow="-110" windowWidth="19420" windowHeight="11500" xr2:uid="{4F5E00DF-9948-D646-B558-8B1F78610CF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2" i="1"/>
  <c r="G25" i="1"/>
  <c r="G23" i="1" s="1"/>
</calcChain>
</file>

<file path=xl/sharedStrings.xml><?xml version="1.0" encoding="utf-8"?>
<sst xmlns="http://schemas.openxmlformats.org/spreadsheetml/2006/main" count="231" uniqueCount="118">
  <si>
    <t>Voltages</t>
  </si>
  <si>
    <t>Voltage at +3V3 (VD)</t>
  </si>
  <si>
    <t>Min</t>
  </si>
  <si>
    <t>Max</t>
  </si>
  <si>
    <t>Measured</t>
  </si>
  <si>
    <t>Voltage at +5VA (VA)</t>
  </si>
  <si>
    <t>Ripple on +3V3 (VD)</t>
  </si>
  <si>
    <t>Voltage at Boost Output</t>
  </si>
  <si>
    <t>Ripple on Boost Output</t>
  </si>
  <si>
    <t>Ripple at DMX_+5V</t>
  </si>
  <si>
    <t>Setup:</t>
  </si>
  <si>
    <t>3V (P2, Pin 1) connected to +3V3</t>
  </si>
  <si>
    <t>Power in by Lab Power Supply, 5 V</t>
  </si>
  <si>
    <t>Current on Power in at 5 V</t>
  </si>
  <si>
    <t>Microphone</t>
  </si>
  <si>
    <t>Mic Voltage</t>
  </si>
  <si>
    <t>Signal Peak finger snip</t>
  </si>
  <si>
    <t>Signal Peak finger on mic</t>
  </si>
  <si>
    <t>Signal Peak finger snip after Preamp</t>
  </si>
  <si>
    <t>Reference Voltage U4</t>
  </si>
  <si>
    <t>Line</t>
  </si>
  <si>
    <t>Input 1 kHz</t>
  </si>
  <si>
    <t>After AA Filter 1 kHz</t>
  </si>
  <si>
    <t>DMX</t>
  </si>
  <si>
    <t>DMX A Voltage</t>
  </si>
  <si>
    <t>DMX B Voltage</t>
  </si>
  <si>
    <t>CODEC</t>
  </si>
  <si>
    <t>Amplitude after Rec-Filter</t>
  </si>
  <si>
    <t>Amplitude after Headphone-Amp unloaded</t>
  </si>
  <si>
    <t>Measured with</t>
  </si>
  <si>
    <t>Notes, how to calculate min/max (and exp.)</t>
  </si>
  <si>
    <t>Wire Loop P1 Pin 11 &lt;=&gt; Pin 16 (SDOUT ==&gt; SDIN)</t>
  </si>
  <si>
    <t>Reset CS4271 after power applied</t>
  </si>
  <si>
    <t>Instructions:</t>
  </si>
  <si>
    <t>Green = measurement mandatory to demonstrate</t>
  </si>
  <si>
    <t>Channel</t>
  </si>
  <si>
    <t>Left</t>
  </si>
  <si>
    <t>Right</t>
  </si>
  <si>
    <t>MCLK Frequency</t>
  </si>
  <si>
    <t>LRCLK Frequency</t>
  </si>
  <si>
    <t>SCL Frequency</t>
  </si>
  <si>
    <t>Crystal Frequency (1:10 Probe!)</t>
  </si>
  <si>
    <t>SDOUT signal present</t>
  </si>
  <si>
    <t>HW Tests without Discovery Board</t>
  </si>
  <si>
    <t>Note how you define Min/Max for each measurement</t>
  </si>
  <si>
    <t>orange = don't need to fill up</t>
  </si>
  <si>
    <t>2.5 V</t>
  </si>
  <si>
    <t>Generate a 500 mVpp 1 kHz signal and measure the amplitude at Line Input</t>
  </si>
  <si>
    <t>all other measuremtents are mandatory, but not required to demonstrate</t>
  </si>
  <si>
    <t>Current Ripple on Power in at 5 V</t>
  </si>
  <si>
    <t>Expected</t>
  </si>
  <si>
    <t>---</t>
  </si>
  <si>
    <t>&amp; Currents</t>
  </si>
  <si>
    <t>Voltage at +5V USB power</t>
  </si>
  <si>
    <t>light blue = additional measurements (optional)</t>
  </si>
  <si>
    <t>4.75 V</t>
  </si>
  <si>
    <t>5.25 V</t>
  </si>
  <si>
    <t>3.25 V</t>
  </si>
  <si>
    <t>3.39 V</t>
  </si>
  <si>
    <t>Voltage at +3V3 ESP supply</t>
  </si>
  <si>
    <t>4.89 V</t>
  </si>
  <si>
    <t>5.09 V</t>
  </si>
  <si>
    <t>Current on Power in at 5V, 3V0 disconnected</t>
  </si>
  <si>
    <t>Voltage at DMX_+5V</t>
  </si>
  <si>
    <t>2 V</t>
  </si>
  <si>
    <t>0 V</t>
  </si>
  <si>
    <t>&lt;5 V</t>
  </si>
  <si>
    <t>Ripple on +3V3 ESP supply</t>
  </si>
  <si>
    <t>1.024 MHz</t>
  </si>
  <si>
    <t>16.384 MHz</t>
  </si>
  <si>
    <t>25.600 MHz</t>
  </si>
  <si>
    <t>Oscilloscope has not enough accuracy, measures above the expected value even when no signal is connected</t>
  </si>
  <si>
    <t>V</t>
  </si>
  <si>
    <t>&lt;</t>
  </si>
  <si>
    <t>mA</t>
  </si>
  <si>
    <t>mV</t>
  </si>
  <si>
    <t>&gt;</t>
  </si>
  <si>
    <t>mVpp</t>
  </si>
  <si>
    <t>kHz</t>
  </si>
  <si>
    <t>0.8 uV RMS + 50 dB below the input (Boost Output)</t>
  </si>
  <si>
    <t>0.8 uV RMS + 50 dB below the input (Lab Power Supply)</t>
  </si>
  <si>
    <t>uVpp</t>
  </si>
  <si>
    <t>Keysight U3402A</t>
  </si>
  <si>
    <t>3.286V</t>
  </si>
  <si>
    <t>5.24V</t>
  </si>
  <si>
    <t>5.67V</t>
  </si>
  <si>
    <t>4.4mVpp</t>
  </si>
  <si>
    <t>4mVpp</t>
  </si>
  <si>
    <t>5mVpp</t>
  </si>
  <si>
    <t>Ripple on +5VA (VA)</t>
  </si>
  <si>
    <t>1.5mVpp</t>
  </si>
  <si>
    <t>6mVpp</t>
  </si>
  <si>
    <t>173mA</t>
  </si>
  <si>
    <t>127.6mA</t>
  </si>
  <si>
    <t>Tektomix TDS 2012C</t>
  </si>
  <si>
    <t>5.29V</t>
  </si>
  <si>
    <t>5.51V</t>
  </si>
  <si>
    <t>4.988V</t>
  </si>
  <si>
    <t>1mApp</t>
  </si>
  <si>
    <t>Tektomix TDS 2012C, 10 Ohm Resistor</t>
  </si>
  <si>
    <t>3.289V</t>
  </si>
  <si>
    <t>2.48V</t>
  </si>
  <si>
    <t>68mVpp</t>
  </si>
  <si>
    <t>500mVpp</t>
  </si>
  <si>
    <t>5Vpp</t>
  </si>
  <si>
    <t>Max frequency for stand alone mode</t>
  </si>
  <si>
    <t>Signal Peak finger on mic after Preamp</t>
  </si>
  <si>
    <t>2.489V</t>
  </si>
  <si>
    <t>2.55V</t>
  </si>
  <si>
    <t>2.45V</t>
  </si>
  <si>
    <t>+- 2% (2 R)</t>
  </si>
  <si>
    <t>4.46V</t>
  </si>
  <si>
    <t>0.87V</t>
  </si>
  <si>
    <t>12.3MHz</t>
  </si>
  <si>
    <t>48kHz</t>
  </si>
  <si>
    <t>4kHz</t>
  </si>
  <si>
    <t>50kHz</t>
  </si>
  <si>
    <t>Sample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</si>
</sst>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9" formatCode="_-* #,##0.0_-;\-* #,##0.0_-;_-* &quot;-&quot;??_-;_-@_-"/>
  </numFmts>
  <fonts count="6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7" borderId="0" applyNumberFormat="0" applyBorder="0" applyAlignment="0" applyProtection="0"/>
    <xf numFmtId="0" fontId="5" fillId="8" borderId="0" applyNumberFormat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5" borderId="0" xfId="0" applyFill="1"/>
    <xf numFmtId="0" fontId="0" fillId="0" borderId="0" xfId="0" quotePrefix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43" fontId="0" fillId="0" borderId="0" xfId="1" applyFont="1" applyFill="1" applyAlignment="1"/>
    <xf numFmtId="11" fontId="0" fillId="0" borderId="0" xfId="0" applyNumberFormat="1" applyFill="1" applyAlignment="1">
      <alignment horizontal="center"/>
    </xf>
    <xf numFmtId="169" fontId="0" fillId="0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0" fillId="0" borderId="0" xfId="0" quotePrefix="1" applyAlignment="1">
      <alignment horizontal="center"/>
    </xf>
    <xf numFmtId="0" fontId="0" fillId="4" borderId="0" xfId="0" quotePrefix="1" applyFill="1" applyAlignment="1">
      <alignment horizontal="center"/>
    </xf>
    <xf numFmtId="0" fontId="0" fillId="0" borderId="0" xfId="0" applyAlignment="1">
      <alignment horizontal="left"/>
    </xf>
    <xf numFmtId="0" fontId="0" fillId="6" borderId="0" xfId="0" applyFill="1"/>
    <xf numFmtId="0" fontId="4" fillId="7" borderId="0" xfId="2" applyAlignment="1">
      <alignment horizontal="center"/>
    </xf>
    <xf numFmtId="0" fontId="5" fillId="8" borderId="0" xfId="3" applyAlignment="1">
      <alignment horizontal="center"/>
    </xf>
    <xf numFmtId="0" fontId="0" fillId="0" borderId="0" xfId="0" applyFill="1"/>
    <xf numFmtId="0" fontId="0" fillId="0" borderId="0" xfId="0" quotePrefix="1"/>
  </cellXfs>
  <cellStyles count="4">
    <cellStyle name="Comma" xfId="1" builtinId="3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59BD-C9E4-7B4D-92D3-0201FF3B88CB}">
  <dimension ref="A2:S61"/>
  <sheetViews>
    <sheetView tabSelected="1" topLeftCell="A30" zoomScale="75" zoomScaleNormal="110" workbookViewId="0">
      <selection activeCell="L54" sqref="L54"/>
    </sheetView>
  </sheetViews>
  <sheetFormatPr defaultColWidth="10.6640625" defaultRowHeight="16" x14ac:dyDescent="0.4"/>
  <cols>
    <col min="3" max="3" width="41" customWidth="1"/>
    <col min="6" max="6" width="2" bestFit="1" customWidth="1"/>
    <col min="7" max="7" width="5.83203125" style="6" bestFit="1" customWidth="1"/>
    <col min="8" max="8" width="5.6640625" style="6" bestFit="1" customWidth="1"/>
    <col min="9" max="11" width="10.6640625" style="6"/>
    <col min="12" max="12" width="17.33203125" bestFit="1" customWidth="1"/>
  </cols>
  <sheetData>
    <row r="2" spans="1:14" ht="23.5" x14ac:dyDescent="0.55000000000000004">
      <c r="A2" s="2" t="s">
        <v>43</v>
      </c>
    </row>
    <row r="4" spans="1:14" x14ac:dyDescent="0.4">
      <c r="A4" t="s">
        <v>33</v>
      </c>
      <c r="C4" s="1" t="s">
        <v>34</v>
      </c>
    </row>
    <row r="5" spans="1:14" x14ac:dyDescent="0.4">
      <c r="C5" t="s">
        <v>48</v>
      </c>
    </row>
    <row r="6" spans="1:14" x14ac:dyDescent="0.4">
      <c r="C6" t="s">
        <v>44</v>
      </c>
    </row>
    <row r="7" spans="1:14" x14ac:dyDescent="0.4">
      <c r="C7" s="5" t="s">
        <v>45</v>
      </c>
    </row>
    <row r="8" spans="1:14" x14ac:dyDescent="0.4">
      <c r="C8" s="10" t="s">
        <v>54</v>
      </c>
    </row>
    <row r="10" spans="1:14" s="4" customFormat="1" x14ac:dyDescent="0.4">
      <c r="A10" s="3" t="s">
        <v>10</v>
      </c>
      <c r="C10" s="4" t="s">
        <v>11</v>
      </c>
      <c r="G10" s="7"/>
      <c r="H10" s="7"/>
      <c r="I10" s="7"/>
      <c r="J10" s="7"/>
      <c r="K10" s="7"/>
    </row>
    <row r="11" spans="1:14" s="4" customFormat="1" x14ac:dyDescent="0.4">
      <c r="C11" s="4" t="s">
        <v>12</v>
      </c>
      <c r="G11" s="7"/>
      <c r="H11" s="7"/>
      <c r="I11" s="7"/>
      <c r="J11" s="7"/>
      <c r="K11" s="7"/>
    </row>
    <row r="13" spans="1:14" x14ac:dyDescent="0.4">
      <c r="D13" t="s">
        <v>35</v>
      </c>
      <c r="F13" s="13" t="s">
        <v>50</v>
      </c>
      <c r="G13" s="13"/>
      <c r="H13" s="13"/>
      <c r="I13" s="6" t="s">
        <v>2</v>
      </c>
      <c r="J13" s="6" t="s">
        <v>3</v>
      </c>
      <c r="K13" s="6" t="s">
        <v>4</v>
      </c>
      <c r="L13" t="s">
        <v>29</v>
      </c>
      <c r="N13" t="s">
        <v>30</v>
      </c>
    </row>
    <row r="14" spans="1:14" x14ac:dyDescent="0.4">
      <c r="A14" t="s">
        <v>0</v>
      </c>
      <c r="C14" s="10" t="s">
        <v>53</v>
      </c>
      <c r="G14" s="11">
        <v>5</v>
      </c>
      <c r="H14" s="11" t="s">
        <v>72</v>
      </c>
      <c r="I14" s="6" t="s">
        <v>55</v>
      </c>
      <c r="J14" s="6" t="s">
        <v>56</v>
      </c>
    </row>
    <row r="15" spans="1:14" x14ac:dyDescent="0.4">
      <c r="A15" t="s">
        <v>52</v>
      </c>
      <c r="C15" s="10" t="s">
        <v>59</v>
      </c>
      <c r="G15" s="6">
        <v>3.3</v>
      </c>
      <c r="H15" s="6" t="s">
        <v>72</v>
      </c>
      <c r="I15" s="6" t="s">
        <v>57</v>
      </c>
      <c r="J15" s="6" t="s">
        <v>58</v>
      </c>
      <c r="K15" s="24" t="s">
        <v>100</v>
      </c>
      <c r="L15" s="22" t="s">
        <v>82</v>
      </c>
    </row>
    <row r="16" spans="1:14" x14ac:dyDescent="0.4">
      <c r="C16" s="1" t="s">
        <v>1</v>
      </c>
      <c r="G16" s="6">
        <v>3.3</v>
      </c>
      <c r="H16" s="6" t="s">
        <v>72</v>
      </c>
      <c r="I16" s="6" t="s">
        <v>57</v>
      </c>
      <c r="J16" s="6" t="s">
        <v>58</v>
      </c>
      <c r="K16" s="24" t="s">
        <v>83</v>
      </c>
      <c r="L16" s="22" t="s">
        <v>82</v>
      </c>
    </row>
    <row r="17" spans="1:19" x14ac:dyDescent="0.4">
      <c r="C17" s="1" t="s">
        <v>5</v>
      </c>
      <c r="G17" s="6">
        <v>5</v>
      </c>
      <c r="H17" s="6" t="s">
        <v>72</v>
      </c>
      <c r="I17" s="6" t="s">
        <v>60</v>
      </c>
      <c r="J17" s="6" t="s">
        <v>61</v>
      </c>
      <c r="K17" s="24" t="s">
        <v>97</v>
      </c>
      <c r="L17" s="22" t="s">
        <v>82</v>
      </c>
    </row>
    <row r="18" spans="1:19" x14ac:dyDescent="0.4">
      <c r="C18" s="1" t="s">
        <v>63</v>
      </c>
      <c r="G18" s="12">
        <v>5.35</v>
      </c>
      <c r="H18" s="12" t="s">
        <v>72</v>
      </c>
      <c r="I18" s="12" t="s">
        <v>95</v>
      </c>
      <c r="J18" s="12" t="s">
        <v>96</v>
      </c>
      <c r="K18" s="25" t="s">
        <v>84</v>
      </c>
      <c r="L18" s="22" t="s">
        <v>82</v>
      </c>
    </row>
    <row r="19" spans="1:19" x14ac:dyDescent="0.4">
      <c r="C19" t="s">
        <v>7</v>
      </c>
      <c r="G19" s="12">
        <v>5</v>
      </c>
      <c r="H19" s="12" t="s">
        <v>72</v>
      </c>
      <c r="I19" s="12"/>
      <c r="J19" s="12"/>
      <c r="K19" s="6" t="s">
        <v>85</v>
      </c>
      <c r="L19" s="22" t="s">
        <v>82</v>
      </c>
    </row>
    <row r="21" spans="1:19" x14ac:dyDescent="0.4">
      <c r="C21" s="10" t="s">
        <v>67</v>
      </c>
      <c r="F21" t="s">
        <v>73</v>
      </c>
      <c r="G21" s="14">
        <f>(0.8*(10^-6)+(1*10^-3)*(10^-5)/20)*10^6</f>
        <v>0.80049999999999999</v>
      </c>
      <c r="H21" s="15" t="s">
        <v>81</v>
      </c>
      <c r="I21" s="11" t="s">
        <v>51</v>
      </c>
      <c r="J21" s="11" t="s">
        <v>51</v>
      </c>
      <c r="K21" s="25" t="s">
        <v>87</v>
      </c>
      <c r="N21" t="s">
        <v>80</v>
      </c>
      <c r="S21" t="s">
        <v>71</v>
      </c>
    </row>
    <row r="22" spans="1:19" x14ac:dyDescent="0.4">
      <c r="C22" s="1" t="s">
        <v>6</v>
      </c>
      <c r="F22" t="s">
        <v>73</v>
      </c>
      <c r="G22" s="14">
        <f>(0.8*(10^-6)+(1*10^-3)*(10^-5)/20)*10^6</f>
        <v>0.80049999999999999</v>
      </c>
      <c r="H22" s="15" t="s">
        <v>81</v>
      </c>
      <c r="I22" s="9" t="s">
        <v>51</v>
      </c>
      <c r="J22" s="9" t="s">
        <v>51</v>
      </c>
      <c r="K22" s="25" t="s">
        <v>86</v>
      </c>
      <c r="L22" s="22" t="s">
        <v>94</v>
      </c>
      <c r="N22" t="s">
        <v>80</v>
      </c>
      <c r="S22" t="s">
        <v>71</v>
      </c>
    </row>
    <row r="23" spans="1:19" x14ac:dyDescent="0.4">
      <c r="C23" s="1" t="s">
        <v>89</v>
      </c>
      <c r="F23" t="s">
        <v>73</v>
      </c>
      <c r="G23" s="16">
        <f>(0.8*(10^-6)+G25*(10^-5)/20)*10^6</f>
        <v>5.8</v>
      </c>
      <c r="H23" s="17" t="s">
        <v>81</v>
      </c>
      <c r="I23" s="9" t="s">
        <v>51</v>
      </c>
      <c r="J23" s="9" t="s">
        <v>51</v>
      </c>
      <c r="K23" s="25" t="s">
        <v>90</v>
      </c>
      <c r="L23" s="22" t="s">
        <v>94</v>
      </c>
      <c r="N23" t="s">
        <v>79</v>
      </c>
      <c r="S23" t="s">
        <v>71</v>
      </c>
    </row>
    <row r="24" spans="1:19" x14ac:dyDescent="0.4">
      <c r="C24" s="1" t="s">
        <v>9</v>
      </c>
      <c r="F24" t="s">
        <v>73</v>
      </c>
      <c r="G24" s="12"/>
      <c r="H24" s="12"/>
      <c r="I24" s="9" t="s">
        <v>51</v>
      </c>
      <c r="J24" s="9" t="s">
        <v>51</v>
      </c>
      <c r="K24" s="6" t="s">
        <v>91</v>
      </c>
      <c r="L24" s="22" t="s">
        <v>94</v>
      </c>
    </row>
    <row r="25" spans="1:19" x14ac:dyDescent="0.4">
      <c r="C25" t="s">
        <v>8</v>
      </c>
      <c r="F25" t="s">
        <v>73</v>
      </c>
      <c r="G25" s="18">
        <f>(1*(1-(5*0.9/G19))/((1*10^6)*(10*10^-6)))*10^3</f>
        <v>9.9999999999999982</v>
      </c>
      <c r="H25" s="19" t="s">
        <v>77</v>
      </c>
      <c r="I25" s="9" t="s">
        <v>51</v>
      </c>
      <c r="J25" s="9" t="s">
        <v>51</v>
      </c>
      <c r="K25" s="24" t="s">
        <v>88</v>
      </c>
      <c r="L25" s="22" t="s">
        <v>94</v>
      </c>
    </row>
    <row r="27" spans="1:19" x14ac:dyDescent="0.4">
      <c r="C27" s="1" t="s">
        <v>13</v>
      </c>
      <c r="F27" s="5" t="s">
        <v>73</v>
      </c>
      <c r="G27" s="8">
        <v>180</v>
      </c>
      <c r="H27" s="8" t="s">
        <v>74</v>
      </c>
      <c r="I27" s="9" t="s">
        <v>51</v>
      </c>
      <c r="J27" s="9" t="s">
        <v>51</v>
      </c>
      <c r="K27" s="24" t="s">
        <v>92</v>
      </c>
      <c r="L27" s="22" t="s">
        <v>82</v>
      </c>
    </row>
    <row r="28" spans="1:19" x14ac:dyDescent="0.4">
      <c r="C28" s="1" t="s">
        <v>62</v>
      </c>
      <c r="F28" s="5" t="s">
        <v>73</v>
      </c>
      <c r="G28" s="8">
        <v>160</v>
      </c>
      <c r="H28" s="8" t="s">
        <v>74</v>
      </c>
      <c r="I28" s="9" t="s">
        <v>51</v>
      </c>
      <c r="J28" s="9" t="s">
        <v>51</v>
      </c>
      <c r="K28" s="24" t="s">
        <v>93</v>
      </c>
      <c r="L28" s="22" t="s">
        <v>82</v>
      </c>
    </row>
    <row r="29" spans="1:19" x14ac:dyDescent="0.4">
      <c r="C29" t="s">
        <v>49</v>
      </c>
      <c r="F29" s="23"/>
      <c r="G29" s="12"/>
      <c r="H29" s="12"/>
      <c r="I29" s="11" t="s">
        <v>51</v>
      </c>
      <c r="J29" s="11" t="s">
        <v>51</v>
      </c>
      <c r="K29" s="6" t="s">
        <v>98</v>
      </c>
      <c r="L29" s="22" t="s">
        <v>99</v>
      </c>
    </row>
    <row r="31" spans="1:19" x14ac:dyDescent="0.4">
      <c r="A31" t="s">
        <v>14</v>
      </c>
      <c r="C31" t="s">
        <v>15</v>
      </c>
      <c r="F31" s="5"/>
      <c r="G31" s="8">
        <v>2.6</v>
      </c>
      <c r="H31" s="8" t="s">
        <v>72</v>
      </c>
      <c r="I31" s="8" t="s">
        <v>64</v>
      </c>
      <c r="J31" s="8" t="s">
        <v>66</v>
      </c>
      <c r="K31" s="24" t="s">
        <v>101</v>
      </c>
      <c r="L31" s="22" t="s">
        <v>82</v>
      </c>
    </row>
    <row r="32" spans="1:19" x14ac:dyDescent="0.4">
      <c r="C32" t="s">
        <v>16</v>
      </c>
      <c r="F32" s="5"/>
      <c r="G32" s="8">
        <v>50</v>
      </c>
      <c r="H32" s="8" t="s">
        <v>75</v>
      </c>
      <c r="I32" s="8" t="s">
        <v>65</v>
      </c>
      <c r="J32" s="8" t="s">
        <v>46</v>
      </c>
      <c r="K32" s="24" t="s">
        <v>102</v>
      </c>
      <c r="L32" s="22" t="s">
        <v>94</v>
      </c>
    </row>
    <row r="33" spans="1:14" x14ac:dyDescent="0.4">
      <c r="C33" t="s">
        <v>17</v>
      </c>
      <c r="F33" s="5" t="s">
        <v>76</v>
      </c>
      <c r="G33" s="8">
        <v>300</v>
      </c>
      <c r="H33" s="8" t="s">
        <v>75</v>
      </c>
      <c r="I33" s="8" t="s">
        <v>65</v>
      </c>
      <c r="J33" s="8" t="s">
        <v>46</v>
      </c>
      <c r="K33" s="24" t="s">
        <v>103</v>
      </c>
      <c r="L33" s="22" t="s">
        <v>94</v>
      </c>
    </row>
    <row r="34" spans="1:14" x14ac:dyDescent="0.4">
      <c r="C34" t="s">
        <v>18</v>
      </c>
      <c r="F34" s="5" t="s">
        <v>76</v>
      </c>
      <c r="G34" s="8">
        <v>2</v>
      </c>
      <c r="H34" s="8" t="s">
        <v>72</v>
      </c>
      <c r="I34" s="8" t="s">
        <v>65</v>
      </c>
      <c r="J34" s="8" t="s">
        <v>46</v>
      </c>
      <c r="K34" s="24" t="s">
        <v>104</v>
      </c>
      <c r="L34" s="22" t="s">
        <v>94</v>
      </c>
    </row>
    <row r="35" spans="1:14" x14ac:dyDescent="0.4">
      <c r="C35" t="s">
        <v>106</v>
      </c>
      <c r="F35" s="5" t="s">
        <v>76</v>
      </c>
      <c r="G35" s="8">
        <v>2</v>
      </c>
      <c r="H35" s="8" t="s">
        <v>72</v>
      </c>
      <c r="I35" s="8" t="s">
        <v>65</v>
      </c>
      <c r="J35" s="8" t="s">
        <v>46</v>
      </c>
      <c r="K35" s="24" t="s">
        <v>104</v>
      </c>
      <c r="L35" s="22" t="s">
        <v>94</v>
      </c>
    </row>
    <row r="36" spans="1:14" x14ac:dyDescent="0.4">
      <c r="C36" t="s">
        <v>19</v>
      </c>
      <c r="F36" s="26"/>
      <c r="G36" s="15">
        <v>2.5</v>
      </c>
      <c r="H36" s="15" t="s">
        <v>72</v>
      </c>
      <c r="I36" s="15" t="s">
        <v>109</v>
      </c>
      <c r="J36" s="15" t="s">
        <v>108</v>
      </c>
      <c r="K36" s="24" t="s">
        <v>107</v>
      </c>
      <c r="L36" s="22" t="s">
        <v>82</v>
      </c>
      <c r="N36" s="27" t="s">
        <v>110</v>
      </c>
    </row>
    <row r="38" spans="1:14" x14ac:dyDescent="0.4">
      <c r="A38" t="s">
        <v>20</v>
      </c>
      <c r="C38" t="s">
        <v>21</v>
      </c>
      <c r="D38" t="s">
        <v>36</v>
      </c>
      <c r="G38" s="6">
        <v>500</v>
      </c>
      <c r="H38" s="6" t="s">
        <v>77</v>
      </c>
      <c r="I38" s="9" t="s">
        <v>51</v>
      </c>
      <c r="J38" s="9" t="s">
        <v>51</v>
      </c>
      <c r="N38" t="s">
        <v>47</v>
      </c>
    </row>
    <row r="39" spans="1:14" x14ac:dyDescent="0.4">
      <c r="C39" s="1" t="s">
        <v>22</v>
      </c>
      <c r="D39" t="s">
        <v>36</v>
      </c>
      <c r="G39" s="12"/>
      <c r="H39" s="12"/>
      <c r="I39" s="9" t="s">
        <v>51</v>
      </c>
      <c r="J39" s="9" t="s">
        <v>51</v>
      </c>
    </row>
    <row r="40" spans="1:14" x14ac:dyDescent="0.4">
      <c r="C40" t="s">
        <v>21</v>
      </c>
      <c r="D40" t="s">
        <v>37</v>
      </c>
      <c r="G40" s="6">
        <v>500</v>
      </c>
      <c r="H40" s="6" t="s">
        <v>77</v>
      </c>
      <c r="I40" s="9" t="s">
        <v>51</v>
      </c>
      <c r="J40" s="9" t="s">
        <v>51</v>
      </c>
      <c r="N40" t="s">
        <v>47</v>
      </c>
    </row>
    <row r="41" spans="1:14" x14ac:dyDescent="0.4">
      <c r="C41" s="1" t="s">
        <v>22</v>
      </c>
      <c r="D41" t="s">
        <v>37</v>
      </c>
      <c r="G41" s="12"/>
      <c r="H41" s="12"/>
      <c r="I41" s="9" t="s">
        <v>51</v>
      </c>
      <c r="J41" s="9" t="s">
        <v>51</v>
      </c>
    </row>
    <row r="43" spans="1:14" x14ac:dyDescent="0.4">
      <c r="A43" t="s">
        <v>23</v>
      </c>
      <c r="C43" t="s">
        <v>24</v>
      </c>
      <c r="G43" s="12"/>
      <c r="H43" s="12"/>
      <c r="I43" s="9" t="s">
        <v>51</v>
      </c>
      <c r="J43" s="9" t="s">
        <v>51</v>
      </c>
      <c r="K43" s="6" t="s">
        <v>111</v>
      </c>
      <c r="L43" s="22" t="s">
        <v>82</v>
      </c>
    </row>
    <row r="44" spans="1:14" x14ac:dyDescent="0.4">
      <c r="C44" t="s">
        <v>25</v>
      </c>
      <c r="G44" s="12"/>
      <c r="H44" s="12"/>
      <c r="I44" s="9" t="s">
        <v>51</v>
      </c>
      <c r="J44" s="9" t="s">
        <v>51</v>
      </c>
      <c r="K44" s="6" t="s">
        <v>112</v>
      </c>
      <c r="L44" s="22" t="s">
        <v>82</v>
      </c>
    </row>
    <row r="47" spans="1:14" s="4" customFormat="1" x14ac:dyDescent="0.4">
      <c r="A47" s="3" t="s">
        <v>10</v>
      </c>
      <c r="C47" s="4" t="s">
        <v>31</v>
      </c>
      <c r="G47" s="7"/>
      <c r="H47" s="7"/>
      <c r="I47" s="7"/>
      <c r="J47" s="7"/>
      <c r="K47" s="7"/>
    </row>
    <row r="48" spans="1:14" s="4" customFormat="1" x14ac:dyDescent="0.4">
      <c r="C48" s="4" t="s">
        <v>11</v>
      </c>
      <c r="G48" s="7"/>
      <c r="H48" s="7"/>
      <c r="I48" s="7"/>
      <c r="J48" s="7"/>
      <c r="K48" s="7"/>
    </row>
    <row r="49" spans="1:14" s="4" customFormat="1" x14ac:dyDescent="0.4">
      <c r="C49" s="4" t="s">
        <v>12</v>
      </c>
      <c r="G49" s="7"/>
      <c r="H49" s="7"/>
      <c r="I49" s="7"/>
      <c r="J49" s="7"/>
      <c r="K49" s="7"/>
    </row>
    <row r="50" spans="1:14" s="4" customFormat="1" x14ac:dyDescent="0.4">
      <c r="C50" s="4" t="s">
        <v>32</v>
      </c>
      <c r="G50" s="7"/>
      <c r="H50" s="7"/>
      <c r="I50" s="7"/>
      <c r="J50" s="7"/>
      <c r="K50" s="7"/>
    </row>
    <row r="52" spans="1:14" x14ac:dyDescent="0.4">
      <c r="A52" t="s">
        <v>26</v>
      </c>
      <c r="C52" t="s">
        <v>41</v>
      </c>
      <c r="F52" s="20" t="s">
        <v>51</v>
      </c>
      <c r="G52" s="20"/>
      <c r="H52" s="20"/>
      <c r="I52" s="6" t="s">
        <v>69</v>
      </c>
      <c r="J52" s="6" t="s">
        <v>70</v>
      </c>
    </row>
    <row r="53" spans="1:14" x14ac:dyDescent="0.4">
      <c r="C53" t="s">
        <v>38</v>
      </c>
      <c r="F53" s="20" t="s">
        <v>51</v>
      </c>
      <c r="G53" s="20"/>
      <c r="H53" s="20"/>
      <c r="I53" s="6" t="s">
        <v>68</v>
      </c>
      <c r="J53" s="6" t="s">
        <v>70</v>
      </c>
      <c r="K53" s="24" t="s">
        <v>113</v>
      </c>
      <c r="L53" s="22" t="s">
        <v>94</v>
      </c>
      <c r="N53" t="s">
        <v>105</v>
      </c>
    </row>
    <row r="54" spans="1:14" x14ac:dyDescent="0.4">
      <c r="C54" s="1" t="s">
        <v>39</v>
      </c>
      <c r="F54" s="20" t="s">
        <v>51</v>
      </c>
      <c r="G54" s="20"/>
      <c r="H54" s="20"/>
      <c r="I54" s="15" t="s">
        <v>115</v>
      </c>
      <c r="J54" s="15" t="s">
        <v>116</v>
      </c>
      <c r="K54" s="24" t="s">
        <v>114</v>
      </c>
      <c r="L54" s="22" t="s">
        <v>94</v>
      </c>
      <c r="N54" s="6" t="s">
        <v>117</v>
      </c>
    </row>
    <row r="55" spans="1:14" x14ac:dyDescent="0.4">
      <c r="C55" t="s">
        <v>40</v>
      </c>
      <c r="F55" t="s">
        <v>73</v>
      </c>
      <c r="G55" s="11">
        <v>100</v>
      </c>
      <c r="H55" s="11" t="s">
        <v>78</v>
      </c>
      <c r="I55" s="11" t="s">
        <v>51</v>
      </c>
      <c r="J55" s="11" t="s">
        <v>51</v>
      </c>
    </row>
    <row r="56" spans="1:14" x14ac:dyDescent="0.4">
      <c r="C56" t="s">
        <v>42</v>
      </c>
      <c r="F56" s="21" t="s">
        <v>51</v>
      </c>
      <c r="G56" s="21"/>
      <c r="H56" s="21"/>
      <c r="I56" s="9" t="s">
        <v>51</v>
      </c>
      <c r="J56" s="9" t="s">
        <v>51</v>
      </c>
    </row>
    <row r="58" spans="1:14" x14ac:dyDescent="0.4">
      <c r="C58" s="1" t="s">
        <v>27</v>
      </c>
      <c r="D58" t="s">
        <v>36</v>
      </c>
      <c r="G58" s="12"/>
      <c r="H58" s="12"/>
      <c r="I58" s="9" t="s">
        <v>51</v>
      </c>
      <c r="J58" s="9" t="s">
        <v>51</v>
      </c>
    </row>
    <row r="59" spans="1:14" x14ac:dyDescent="0.4">
      <c r="C59" s="1" t="s">
        <v>28</v>
      </c>
      <c r="D59" t="s">
        <v>36</v>
      </c>
      <c r="G59" s="12"/>
      <c r="H59" s="12"/>
      <c r="I59" s="9" t="s">
        <v>51</v>
      </c>
      <c r="J59" s="9" t="s">
        <v>51</v>
      </c>
    </row>
    <row r="60" spans="1:14" x14ac:dyDescent="0.4">
      <c r="C60" s="1" t="s">
        <v>27</v>
      </c>
      <c r="D60" t="s">
        <v>37</v>
      </c>
      <c r="G60" s="12"/>
      <c r="H60" s="12"/>
      <c r="I60" s="9" t="s">
        <v>51</v>
      </c>
      <c r="J60" s="9" t="s">
        <v>51</v>
      </c>
    </row>
    <row r="61" spans="1:14" x14ac:dyDescent="0.4">
      <c r="C61" s="1" t="s">
        <v>28</v>
      </c>
      <c r="D61" t="s">
        <v>37</v>
      </c>
      <c r="G61" s="12"/>
      <c r="H61" s="12"/>
      <c r="I61" s="9" t="s">
        <v>51</v>
      </c>
      <c r="J61" s="9" t="s">
        <v>51</v>
      </c>
    </row>
  </sheetData>
  <mergeCells count="5">
    <mergeCell ref="F13:H13"/>
    <mergeCell ref="F52:H52"/>
    <mergeCell ref="F53:H53"/>
    <mergeCell ref="F56:H56"/>
    <mergeCell ref="F54:H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2025-10-23T10:56:23Z</dcterms:created>
  <dcterms:modified xsi:type="dcterms:W3CDTF">2025-11-07T11:59:08Z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2025-10-23T11:09:45Z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91726deb-3249-403e-b455-19f2b1867ef9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50, 3, 0, 1</vt:lpwstr>
  </property>
</Properties>
</file>