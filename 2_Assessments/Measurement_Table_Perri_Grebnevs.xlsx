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filterPrivacy="1" defaultThemeVersion="202300"/>
  <xr:revisionPtr revIDLastSave="0" documentId="13_ncr:1_{AA8A3097-203E-F346-9B3E-C4198387B175}" xr6:coauthVersionLast="47" xr6:coauthVersionMax="47" xr10:uidLastSave="{00000000-0000-0000-0000-000000000000}"/>
  <bookViews>
    <workbookView xWindow="-51200" yWindow="-10180" windowWidth="51200" windowHeight="28180" xr2:uid="{4F5E00DF-9948-D646-B558-8B1F78610CF0}"/>
  </bookViews>
  <sheets>
    <sheet name="Sheet1" sheetId="1" r:id="rId1"/>
  </sheets>
  <definedNames>
    <definedName name="_xlnm._FilterDatabase" localSheetId="0" hidden="1">Sheet1!$C$15:$C$62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6" i="1" l="1"/>
  <c r="AD67" i="1"/>
  <c r="AB66" i="1"/>
  <c r="AD66" i="1" l="1"/>
  <c r="AD69" i="1" s="1"/>
  <c r="H22" i="1"/>
  <c r="H30" i="1"/>
  <c r="H26" i="1"/>
  <c r="H24" i="1" s="1"/>
  <c r="H23" i="1"/>
</calcChain>
</file>

<file path=xl/sharedStrings.xml><?xml version="1.0" encoding="utf-8"?>
<sst xmlns="http://schemas.openxmlformats.org/spreadsheetml/2006/main" count="326" uniqueCount="169">
  <si>
    <t>Voltages</t>
  </si>
  <si>
    <t>Voltage at +3V3 (VD)</t>
  </si>
  <si>
    <t>Min</t>
  </si>
  <si>
    <t>Max</t>
  </si>
  <si>
    <t>Measured</t>
  </si>
  <si>
    <t>Voltage at +5VA (VA)</t>
  </si>
  <si>
    <t>Ripple on +3V3 (VD)</t>
  </si>
  <si>
    <t>Voltage at Boost Output</t>
  </si>
  <si>
    <t>Ripple on Boost Output</t>
  </si>
  <si>
    <t>Ripple at DMX_+5V</t>
  </si>
  <si>
    <t>Setup:</t>
  </si>
  <si>
    <t>3V (P2, Pin 1) connected to +3V3</t>
  </si>
  <si>
    <t>Power in by Lab Power Supply, 5 V</t>
  </si>
  <si>
    <t>Current on Power in at 5 V</t>
  </si>
  <si>
    <t>Microphone</t>
  </si>
  <si>
    <t>Mic Voltage</t>
  </si>
  <si>
    <t>Signal Peak finger snip</t>
  </si>
  <si>
    <t>Signal Peak finger on mic</t>
  </si>
  <si>
    <t>Signal Peak finger snip after Preamp</t>
  </si>
  <si>
    <t>Reference Voltage U4</t>
  </si>
  <si>
    <t>Line</t>
  </si>
  <si>
    <t>Input 1 kHz</t>
  </si>
  <si>
    <t>After AA Filter 1 kHz</t>
  </si>
  <si>
    <t>DMX</t>
  </si>
  <si>
    <t>DMX A Voltage</t>
  </si>
  <si>
    <t>DMX B Voltage</t>
  </si>
  <si>
    <t>CODEC</t>
  </si>
  <si>
    <t>Amplitude after Rec-Filter</t>
  </si>
  <si>
    <t>Amplitude after Headphone-Amp unloaded</t>
  </si>
  <si>
    <t>Measured with</t>
  </si>
  <si>
    <t>Notes, how to calculate min/max (and exp.)</t>
  </si>
  <si>
    <t>Wire Loop P1 Pin 11 &lt;=&gt; Pin 16 (SDOUT ==&gt; SDIN)</t>
  </si>
  <si>
    <t>Reset CS4271 after power applied</t>
  </si>
  <si>
    <t>Instructions:</t>
  </si>
  <si>
    <t>Green = measurement mandatory to demonstrate</t>
  </si>
  <si>
    <t>Channel</t>
  </si>
  <si>
    <t>Left</t>
  </si>
  <si>
    <t>Right</t>
  </si>
  <si>
    <t>MCLK Frequency</t>
  </si>
  <si>
    <t>LRCLK Frequency</t>
  </si>
  <si>
    <t>Crystal Frequency (1:10 Probe!)</t>
  </si>
  <si>
    <t>SDOUT signal present</t>
  </si>
  <si>
    <t>HW Tests without Discovery Board</t>
  </si>
  <si>
    <t>Note how you define Min/Max for each measurement</t>
  </si>
  <si>
    <t>orange = don't need to fill up</t>
  </si>
  <si>
    <t>2.5 V</t>
  </si>
  <si>
    <t>Generate a 500 mVpp 1 kHz signal and measure the amplitude at Line Input</t>
  </si>
  <si>
    <t>all other measuremtents are mandatory, but not required to demonstrate</t>
  </si>
  <si>
    <t>Current Ripple on Power in at 5 V</t>
  </si>
  <si>
    <t>Expected</t>
  </si>
  <si>
    <t>---</t>
  </si>
  <si>
    <t>&amp; Currents</t>
  </si>
  <si>
    <t>light blue = additional measurements (optional)</t>
  </si>
  <si>
    <t>3.25 V</t>
  </si>
  <si>
    <t>3.39 V</t>
  </si>
  <si>
    <t>Voltage at +3V3 ESP supply</t>
  </si>
  <si>
    <t>4.89 V</t>
  </si>
  <si>
    <t>5.09 V</t>
  </si>
  <si>
    <t>Current on Power in at 5V, 3V0 disconnected</t>
  </si>
  <si>
    <t>Voltage at DMX_+5V</t>
  </si>
  <si>
    <t>2 V</t>
  </si>
  <si>
    <t>0 V</t>
  </si>
  <si>
    <t>&lt;5 V</t>
  </si>
  <si>
    <t>Ripple on +3V3 ESP supply</t>
  </si>
  <si>
    <t>1.024 MHz</t>
  </si>
  <si>
    <t>16.384 MHz</t>
  </si>
  <si>
    <t>25.600 MHz</t>
  </si>
  <si>
    <t>V</t>
  </si>
  <si>
    <t>&lt;</t>
  </si>
  <si>
    <t>mA</t>
  </si>
  <si>
    <t>mV</t>
  </si>
  <si>
    <t>&gt;</t>
  </si>
  <si>
    <t>mVpp</t>
  </si>
  <si>
    <t>Keysight U3402A</t>
  </si>
  <si>
    <t>3.286V</t>
  </si>
  <si>
    <t>5.24V</t>
  </si>
  <si>
    <t>5.67V</t>
  </si>
  <si>
    <t>4.4mVpp</t>
  </si>
  <si>
    <t>4mVpp</t>
  </si>
  <si>
    <t>5mVpp</t>
  </si>
  <si>
    <t>Ripple on +5VA (VA)</t>
  </si>
  <si>
    <t>1.5mVpp</t>
  </si>
  <si>
    <t>6mVpp</t>
  </si>
  <si>
    <t>173mA</t>
  </si>
  <si>
    <t>127.6mA</t>
  </si>
  <si>
    <t>Tektomix TDS 2012C</t>
  </si>
  <si>
    <t>5.29V</t>
  </si>
  <si>
    <t>5.51V</t>
  </si>
  <si>
    <t>4.988V</t>
  </si>
  <si>
    <t>1mApp</t>
  </si>
  <si>
    <t>3.289V</t>
  </si>
  <si>
    <t>2.48V</t>
  </si>
  <si>
    <t>68mVpp</t>
  </si>
  <si>
    <t>500mVpp</t>
  </si>
  <si>
    <t>5Vpp</t>
  </si>
  <si>
    <t>Signal Peak finger on mic after Preamp</t>
  </si>
  <si>
    <t>2.489V</t>
  </si>
  <si>
    <t>4.46V</t>
  </si>
  <si>
    <t>0.87V</t>
  </si>
  <si>
    <t>12.3MHz</t>
  </si>
  <si>
    <t>4kHz</t>
  </si>
  <si>
    <t>50kHz</t>
  </si>
  <si>
    <t>uV</t>
  </si>
  <si>
    <t>2.475V</t>
  </si>
  <si>
    <t>2.525V</t>
  </si>
  <si>
    <t>1kHz is in pass band =&gt; no attenuation</t>
  </si>
  <si>
    <t>0.8 uV RMS + 50 dB below the input (Lab Power Supply). Oscilloscope has not enough accuracy, measures above the expected value even when no signal is connected</t>
  </si>
  <si>
    <t>0.8 uV RMS + 50 dB below the input (Lab Power Supply).Oscilloscope has not enough accuracy, measures above the expected value even when no signal is connected</t>
  </si>
  <si>
    <t>0.8 uV RMS + 50 dB below the input (Boost Output).Oscilloscope has not enough accuracy, measures above the expected value even when no signal is connected</t>
  </si>
  <si>
    <t>47.998kHz</t>
  </si>
  <si>
    <t>SCLK Frequency</t>
  </si>
  <si>
    <t>3.2MHz</t>
  </si>
  <si>
    <t>3.07MHz</t>
  </si>
  <si>
    <t>YES</t>
  </si>
  <si>
    <t>24.88MHz</t>
  </si>
  <si>
    <t>256kHz</t>
  </si>
  <si>
    <t>Measurement point</t>
  </si>
  <si>
    <t>TP</t>
  </si>
  <si>
    <t>C34</t>
  </si>
  <si>
    <t>C10</t>
  </si>
  <si>
    <t>C46</t>
  </si>
  <si>
    <t>C47</t>
  </si>
  <si>
    <t>Line in (L)</t>
  </si>
  <si>
    <t>Line in (R)</t>
  </si>
  <si>
    <t>Y1</t>
  </si>
  <si>
    <t>JP9</t>
  </si>
  <si>
    <t>Line out (L)</t>
  </si>
  <si>
    <t>Line out (R)</t>
  </si>
  <si>
    <t>Headphone Jack (L)</t>
  </si>
  <si>
    <t>Headphone Jack (R)</t>
  </si>
  <si>
    <t>Frequency sweep (400Hz … 20kHz)</t>
  </si>
  <si>
    <t>No attenuation in human hearable range</t>
  </si>
  <si>
    <t>No attenuation</t>
  </si>
  <si>
    <t>Vpp</t>
  </si>
  <si>
    <t>533mVpp</t>
  </si>
  <si>
    <t>536mVpp</t>
  </si>
  <si>
    <t>2.62Vpp</t>
  </si>
  <si>
    <t>2.60Vpp</t>
  </si>
  <si>
    <t>532mVpp</t>
  </si>
  <si>
    <t>Value given</t>
  </si>
  <si>
    <t>From the datasheet (max frequency is for stand alone mode)</t>
  </si>
  <si>
    <t>From the datasheet</t>
  </si>
  <si>
    <t>From the datasheet (sample rate)</t>
  </si>
  <si>
    <t>From the datasheet, LRCK x64</t>
  </si>
  <si>
    <t>No expected value needed</t>
  </si>
  <si>
    <t>Max amplification  factor = 5</t>
  </si>
  <si>
    <t>Based on resistor and current tolerances. Taking into account tolerance envelope is acceptable</t>
  </si>
  <si>
    <t>Based on resistor and current tolerances</t>
  </si>
  <si>
    <t>Based on the capacitor value and boost converter parameters (ref. Equation 8 in the datasheet)</t>
  </si>
  <si>
    <t>This Excel table is provided together with a PDF test protocol. Please refer to the PDF for detailed information on the test procedure, analysis, and additional documentation.</t>
  </si>
  <si>
    <t>Voc + Vod/2. Expected value is calculated with max values from the datasheet, values down to 3.75V (with Vod=1.5) are also acceptable</t>
  </si>
  <si>
    <t>Voc - Vod/2. Expected value is calculated with max values from the datasheet, values up to 2.25V (with Vod=1.5V) are also acceptable</t>
  </si>
  <si>
    <t>uA</t>
  </si>
  <si>
    <t>Legend:</t>
  </si>
  <si>
    <r>
      <t xml:space="preserve">in range / as expected =&gt; </t>
    </r>
    <r>
      <rPr>
        <b/>
        <sz val="11"/>
        <color rgb="FF006100"/>
        <rFont val="Aptos Narrow"/>
        <family val="2"/>
        <scheme val="minor"/>
      </rPr>
      <t>passed</t>
    </r>
  </si>
  <si>
    <r>
      <t xml:space="preserve">out of range / not as expected, considered acceptable =&gt; </t>
    </r>
    <r>
      <rPr>
        <b/>
        <sz val="11"/>
        <color rgb="FF9C5700"/>
        <rFont val="Aptos Narrow"/>
        <family val="2"/>
        <scheme val="minor"/>
      </rPr>
      <t>passed</t>
    </r>
  </si>
  <si>
    <r>
      <t xml:space="preserve">out of range / not as expected =&gt; </t>
    </r>
    <r>
      <rPr>
        <b/>
        <sz val="11"/>
        <color rgb="FF9C0006"/>
        <rFont val="Aptos Narrow"/>
        <family val="2"/>
        <scheme val="minor"/>
      </rPr>
      <t>failed</t>
    </r>
  </si>
  <si>
    <t>Based on voltage ripple. Measured using 10Ohm shunt resistor. Oscilloscope and measurement method providenot enough accuracy</t>
  </si>
  <si>
    <t>5.25V</t>
  </si>
  <si>
    <t>5.78V</t>
  </si>
  <si>
    <t>Based on resistor and reference voltage tolerances (ref. Equation 4 in the datasheet)</t>
  </si>
  <si>
    <t>Points Measured</t>
  </si>
  <si>
    <t>Points Min/Max</t>
  </si>
  <si>
    <t>Comment</t>
  </si>
  <si>
    <t>Set Pin Current tollerance in our case is 2%</t>
  </si>
  <si>
    <t>Follow-up error from above</t>
  </si>
  <si>
    <t>Not what the codec supports, but the tolerance you expect when measuring based on the component tolerance as before. In this case, that means 20 ppm of the crystal.</t>
  </si>
  <si>
    <t>see above</t>
  </si>
  <si>
    <t>expected value 64*LRCK ok, but rest 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</si>
</sst>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_-;\-* #,##0.000_-;_-* &quot;-&quot;??_-;_-@_-"/>
    <numFmt numFmtId="166" formatCode="_-* #,##0.0_-;\-* #,##0.0_-;_-* &quot;-&quot;??_-;_-@_-"/>
  </numFmts>
  <fonts count="1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8" fillId="8" borderId="0" applyNumberFormat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applyFill="1"/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Font="1" applyFill="1" applyAlignment="1"/>
    <xf numFmtId="166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4" fillId="6" borderId="0" xfId="2" applyAlignment="1">
      <alignment horizontal="center"/>
    </xf>
    <xf numFmtId="0" fontId="5" fillId="7" borderId="0" xfId="3" applyAlignment="1">
      <alignment horizontal="center"/>
    </xf>
    <xf numFmtId="0" fontId="0" fillId="0" borderId="0" xfId="0" quotePrefix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2" fillId="3" borderId="0" xfId="0" applyFont="1" applyFill="1"/>
    <xf numFmtId="0" fontId="3" fillId="0" borderId="0" xfId="3" applyFont="1" applyFill="1"/>
    <xf numFmtId="0" fontId="0" fillId="0" borderId="0" xfId="3" applyFont="1" applyFill="1"/>
    <xf numFmtId="2" fontId="2" fillId="0" borderId="0" xfId="0" applyNumberFormat="1" applyFont="1"/>
    <xf numFmtId="0" fontId="4" fillId="6" borderId="0" xfId="2" applyAlignment="1">
      <alignment horizontal="left"/>
    </xf>
    <xf numFmtId="0" fontId="5" fillId="7" borderId="0" xfId="3" applyAlignment="1">
      <alignment horizontal="left"/>
    </xf>
    <xf numFmtId="0" fontId="8" fillId="8" borderId="0" xfId="4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quotePrefix="1" applyFill="1" applyAlignment="1">
      <alignment horizontal="center"/>
    </xf>
  </cellXfs>
  <cellStyles count="5">
    <cellStyle name="Gut" xfId="2" builtinId="26"/>
    <cellStyle name="Komma" xfId="1" builtinId="3"/>
    <cellStyle name="Neutral" xfId="3" builtinId="28"/>
    <cellStyle name="Schlecht" xfId="4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372843</xdr:colOff>
      <xdr:row>15</xdr:row>
      <xdr:rowOff>34955</xdr:rowOff>
    </xdr:from>
    <xdr:to>
      <xdr:col>42</xdr:col>
      <xdr:colOff>118203</xdr:colOff>
      <xdr:row>17</xdr:row>
      <xdr:rowOff>47912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276E085-E889-6040-94A9-43B5AEDD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7797" y="3110918"/>
          <a:ext cx="7901323" cy="409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59BD-C9E4-7B4D-92D3-0201FF3B88CB}">
  <dimension ref="A2:AD69"/>
  <sheetViews>
    <sheetView tabSelected="1" topLeftCell="A6" zoomScale="109" zoomScaleNormal="109" workbookViewId="0">
      <selection activeCell="AD57" sqref="AD57"/>
    </sheetView>
  </sheetViews>
  <sheetFormatPr baseColWidth="10" defaultColWidth="10.6640625" defaultRowHeight="16" x14ac:dyDescent="0.2"/>
  <cols>
    <col min="3" max="3" width="41" customWidth="1"/>
    <col min="5" max="5" width="17.1640625" bestFit="1" customWidth="1"/>
    <col min="7" max="7" width="2" bestFit="1" customWidth="1"/>
    <col min="8" max="8" width="5.83203125" style="6" bestFit="1" customWidth="1"/>
    <col min="9" max="9" width="5.6640625" style="6" bestFit="1" customWidth="1"/>
    <col min="10" max="12" width="10.6640625" style="6"/>
    <col min="13" max="13" width="17.33203125" bestFit="1" customWidth="1"/>
    <col min="15" max="15" width="10.6640625" customWidth="1"/>
  </cols>
  <sheetData>
    <row r="2" spans="1:30" ht="24" x14ac:dyDescent="0.3">
      <c r="A2" s="2" t="s">
        <v>42</v>
      </c>
    </row>
    <row r="4" spans="1:30" x14ac:dyDescent="0.2">
      <c r="A4" s="22" t="s">
        <v>149</v>
      </c>
    </row>
    <row r="6" spans="1:30" x14ac:dyDescent="0.2">
      <c r="A6" t="s">
        <v>33</v>
      </c>
      <c r="C6" s="1" t="s">
        <v>34</v>
      </c>
      <c r="F6" t="s">
        <v>153</v>
      </c>
      <c r="H6" s="27" t="s">
        <v>154</v>
      </c>
      <c r="I6" s="27"/>
      <c r="J6" s="27"/>
      <c r="K6" s="27"/>
      <c r="L6" s="27"/>
      <c r="M6" s="27"/>
    </row>
    <row r="7" spans="1:30" x14ac:dyDescent="0.2">
      <c r="C7" t="s">
        <v>47</v>
      </c>
      <c r="H7" s="28" t="s">
        <v>155</v>
      </c>
      <c r="I7" s="28"/>
      <c r="J7" s="28"/>
      <c r="K7" s="28"/>
      <c r="L7" s="28"/>
      <c r="M7" s="28"/>
    </row>
    <row r="8" spans="1:30" x14ac:dyDescent="0.2">
      <c r="C8" t="s">
        <v>43</v>
      </c>
      <c r="H8" s="29" t="s">
        <v>156</v>
      </c>
      <c r="I8" s="29"/>
      <c r="J8" s="29"/>
      <c r="K8" s="29"/>
      <c r="L8" s="29"/>
      <c r="M8" s="29"/>
    </row>
    <row r="9" spans="1:30" x14ac:dyDescent="0.2">
      <c r="C9" s="5" t="s">
        <v>44</v>
      </c>
    </row>
    <row r="10" spans="1:30" x14ac:dyDescent="0.2">
      <c r="C10" s="10" t="s">
        <v>52</v>
      </c>
    </row>
    <row r="12" spans="1:30" s="4" customFormat="1" x14ac:dyDescent="0.2">
      <c r="A12" s="3" t="s">
        <v>10</v>
      </c>
      <c r="C12" s="4" t="s">
        <v>11</v>
      </c>
      <c r="H12" s="7"/>
      <c r="I12" s="7"/>
      <c r="J12" s="7"/>
      <c r="K12" s="7"/>
      <c r="L12" s="7"/>
    </row>
    <row r="13" spans="1:30" s="4" customFormat="1" x14ac:dyDescent="0.2">
      <c r="C13" s="4" t="s">
        <v>12</v>
      </c>
      <c r="H13" s="7"/>
      <c r="I13" s="7"/>
      <c r="J13" s="7"/>
      <c r="K13" s="7"/>
      <c r="L13" s="7"/>
      <c r="AB13" s="23" t="s">
        <v>161</v>
      </c>
      <c r="AC13" s="23" t="s">
        <v>162</v>
      </c>
      <c r="AD13" s="23" t="s">
        <v>163</v>
      </c>
    </row>
    <row r="15" spans="1:30" x14ac:dyDescent="0.2">
      <c r="D15" t="s">
        <v>35</v>
      </c>
      <c r="E15" s="21" t="s">
        <v>116</v>
      </c>
      <c r="G15" s="31" t="s">
        <v>49</v>
      </c>
      <c r="H15" s="31"/>
      <c r="I15" s="31"/>
      <c r="J15" s="20" t="s">
        <v>2</v>
      </c>
      <c r="K15" s="20" t="s">
        <v>3</v>
      </c>
      <c r="L15" s="20" t="s">
        <v>4</v>
      </c>
      <c r="M15" s="21" t="s">
        <v>29</v>
      </c>
      <c r="O15" s="21" t="s">
        <v>30</v>
      </c>
    </row>
    <row r="16" spans="1:30" x14ac:dyDescent="0.2">
      <c r="A16" t="s">
        <v>0</v>
      </c>
      <c r="C16" s="10" t="s">
        <v>55</v>
      </c>
      <c r="E16" t="s">
        <v>119</v>
      </c>
      <c r="H16" s="6">
        <v>3.32</v>
      </c>
      <c r="I16" s="6" t="s">
        <v>67</v>
      </c>
      <c r="J16" s="6" t="s">
        <v>53</v>
      </c>
      <c r="K16" s="6" t="s">
        <v>54</v>
      </c>
      <c r="L16" s="17" t="s">
        <v>90</v>
      </c>
      <c r="M16" s="16" t="s">
        <v>73</v>
      </c>
      <c r="O16" t="s">
        <v>147</v>
      </c>
    </row>
    <row r="17" spans="1:30" x14ac:dyDescent="0.2">
      <c r="A17" t="s">
        <v>51</v>
      </c>
      <c r="C17" s="1" t="s">
        <v>1</v>
      </c>
      <c r="E17" t="s">
        <v>117</v>
      </c>
      <c r="H17" s="6">
        <v>3.32</v>
      </c>
      <c r="I17" s="6" t="s">
        <v>67</v>
      </c>
      <c r="J17" s="6" t="s">
        <v>53</v>
      </c>
      <c r="K17" s="6" t="s">
        <v>54</v>
      </c>
      <c r="L17" s="17" t="s">
        <v>74</v>
      </c>
      <c r="M17" s="16" t="s">
        <v>73</v>
      </c>
      <c r="O17" t="s">
        <v>147</v>
      </c>
      <c r="AC17">
        <v>1</v>
      </c>
      <c r="AD17" t="s">
        <v>164</v>
      </c>
    </row>
    <row r="18" spans="1:30" x14ac:dyDescent="0.2">
      <c r="C18" s="1" t="s">
        <v>5</v>
      </c>
      <c r="E18" t="s">
        <v>117</v>
      </c>
      <c r="H18" s="6">
        <v>4.99</v>
      </c>
      <c r="I18" s="6" t="s">
        <v>67</v>
      </c>
      <c r="J18" s="6" t="s">
        <v>56</v>
      </c>
      <c r="K18" s="6" t="s">
        <v>57</v>
      </c>
      <c r="L18" s="17" t="s">
        <v>88</v>
      </c>
      <c r="M18" s="16" t="s">
        <v>73</v>
      </c>
      <c r="O18" t="s">
        <v>147</v>
      </c>
      <c r="AC18">
        <v>2</v>
      </c>
      <c r="AD18" t="s">
        <v>165</v>
      </c>
    </row>
    <row r="19" spans="1:30" x14ac:dyDescent="0.2">
      <c r="C19" s="1" t="s">
        <v>59</v>
      </c>
      <c r="E19" t="s">
        <v>117</v>
      </c>
      <c r="H19" s="6">
        <v>5.4</v>
      </c>
      <c r="I19" s="6" t="s">
        <v>67</v>
      </c>
      <c r="J19" s="6" t="s">
        <v>86</v>
      </c>
      <c r="K19" s="6" t="s">
        <v>87</v>
      </c>
      <c r="L19" s="18" t="s">
        <v>75</v>
      </c>
      <c r="M19" s="16" t="s">
        <v>73</v>
      </c>
      <c r="O19" t="s">
        <v>146</v>
      </c>
      <c r="AC19" s="24">
        <v>2</v>
      </c>
    </row>
    <row r="20" spans="1:30" x14ac:dyDescent="0.2">
      <c r="C20" t="s">
        <v>7</v>
      </c>
      <c r="E20" t="s">
        <v>118</v>
      </c>
      <c r="H20" s="6">
        <v>5.51</v>
      </c>
      <c r="I20" s="6" t="s">
        <v>67</v>
      </c>
      <c r="J20" s="6" t="s">
        <v>158</v>
      </c>
      <c r="K20" s="6" t="s">
        <v>159</v>
      </c>
      <c r="L20" s="17" t="s">
        <v>76</v>
      </c>
      <c r="M20" s="16" t="s">
        <v>73</v>
      </c>
      <c r="O20" t="s">
        <v>160</v>
      </c>
      <c r="AB20">
        <v>1</v>
      </c>
      <c r="AC20">
        <v>2</v>
      </c>
    </row>
    <row r="22" spans="1:30" x14ac:dyDescent="0.2">
      <c r="C22" s="10" t="s">
        <v>63</v>
      </c>
      <c r="E22" t="s">
        <v>119</v>
      </c>
      <c r="G22" t="s">
        <v>68</v>
      </c>
      <c r="H22" s="12">
        <f>(0.8*(10^-6)+(1*10^-3)*(10^-5)/20)*10^6</f>
        <v>0.80049999999999999</v>
      </c>
      <c r="I22" s="6" t="s">
        <v>102</v>
      </c>
      <c r="J22" s="11" t="s">
        <v>50</v>
      </c>
      <c r="K22" s="11" t="s">
        <v>50</v>
      </c>
      <c r="L22" s="18" t="s">
        <v>78</v>
      </c>
      <c r="M22" s="16" t="s">
        <v>85</v>
      </c>
      <c r="O22" t="s">
        <v>106</v>
      </c>
    </row>
    <row r="23" spans="1:30" x14ac:dyDescent="0.2">
      <c r="C23" s="1" t="s">
        <v>6</v>
      </c>
      <c r="E23" t="s">
        <v>117</v>
      </c>
      <c r="G23" t="s">
        <v>68</v>
      </c>
      <c r="H23" s="12">
        <f>(0.8*(10^-6)+(1*10^-3)*(10^-5)/20)*10^6</f>
        <v>0.80049999999999999</v>
      </c>
      <c r="I23" s="6" t="s">
        <v>102</v>
      </c>
      <c r="J23" s="9" t="s">
        <v>50</v>
      </c>
      <c r="K23" s="9" t="s">
        <v>50</v>
      </c>
      <c r="L23" s="18" t="s">
        <v>77</v>
      </c>
      <c r="M23" s="16" t="s">
        <v>85</v>
      </c>
      <c r="O23" t="s">
        <v>107</v>
      </c>
      <c r="AC23">
        <v>2</v>
      </c>
    </row>
    <row r="24" spans="1:30" x14ac:dyDescent="0.2">
      <c r="C24" s="1" t="s">
        <v>80</v>
      </c>
      <c r="E24" t="s">
        <v>117</v>
      </c>
      <c r="G24" t="s">
        <v>68</v>
      </c>
      <c r="H24" s="13">
        <f>(0.8*10^-6+(H26*10^-3)*(10^-5)/20)*10^6</f>
        <v>0.80916515426497271</v>
      </c>
      <c r="I24" s="6" t="s">
        <v>102</v>
      </c>
      <c r="J24" s="9" t="s">
        <v>50</v>
      </c>
      <c r="K24" s="9" t="s">
        <v>50</v>
      </c>
      <c r="L24" s="18" t="s">
        <v>81</v>
      </c>
      <c r="M24" s="16" t="s">
        <v>85</v>
      </c>
      <c r="O24" t="s">
        <v>108</v>
      </c>
      <c r="AC24">
        <v>2</v>
      </c>
    </row>
    <row r="25" spans="1:30" x14ac:dyDescent="0.2">
      <c r="C25" s="1" t="s">
        <v>9</v>
      </c>
      <c r="E25" t="s">
        <v>117</v>
      </c>
      <c r="G25" t="s">
        <v>68</v>
      </c>
      <c r="H25" s="6">
        <v>40</v>
      </c>
      <c r="I25" s="6" t="s">
        <v>72</v>
      </c>
      <c r="J25" s="9" t="s">
        <v>50</v>
      </c>
      <c r="K25" s="9" t="s">
        <v>50</v>
      </c>
      <c r="L25" s="17" t="s">
        <v>82</v>
      </c>
      <c r="M25" s="16" t="s">
        <v>85</v>
      </c>
      <c r="O25" t="s">
        <v>141</v>
      </c>
      <c r="AC25">
        <v>2</v>
      </c>
    </row>
    <row r="26" spans="1:30" x14ac:dyDescent="0.2">
      <c r="C26" t="s">
        <v>8</v>
      </c>
      <c r="E26" t="s">
        <v>118</v>
      </c>
      <c r="G26" t="s">
        <v>68</v>
      </c>
      <c r="H26" s="14">
        <f>(1*(1-(5*0.9/H20))/((1*10^6)*(10*10^-6)))*10^3</f>
        <v>18.330308529945547</v>
      </c>
      <c r="I26" s="15" t="s">
        <v>70</v>
      </c>
      <c r="J26" s="9" t="s">
        <v>50</v>
      </c>
      <c r="K26" s="9" t="s">
        <v>50</v>
      </c>
      <c r="L26" s="17" t="s">
        <v>79</v>
      </c>
      <c r="M26" s="16" t="s">
        <v>85</v>
      </c>
      <c r="O26" t="s">
        <v>148</v>
      </c>
      <c r="AB26">
        <v>1</v>
      </c>
      <c r="AC26" s="25">
        <v>2</v>
      </c>
    </row>
    <row r="28" spans="1:30" x14ac:dyDescent="0.2">
      <c r="C28" s="1" t="s">
        <v>13</v>
      </c>
      <c r="G28" s="5" t="s">
        <v>68</v>
      </c>
      <c r="H28" s="8">
        <v>180</v>
      </c>
      <c r="I28" s="8" t="s">
        <v>69</v>
      </c>
      <c r="J28" s="9" t="s">
        <v>50</v>
      </c>
      <c r="K28" s="9" t="s">
        <v>50</v>
      </c>
      <c r="L28" s="17" t="s">
        <v>83</v>
      </c>
      <c r="M28" s="16" t="s">
        <v>73</v>
      </c>
      <c r="O28" t="s">
        <v>139</v>
      </c>
    </row>
    <row r="29" spans="1:30" x14ac:dyDescent="0.2">
      <c r="C29" s="1" t="s">
        <v>58</v>
      </c>
      <c r="G29" s="5" t="s">
        <v>68</v>
      </c>
      <c r="H29" s="8">
        <v>160</v>
      </c>
      <c r="I29" s="8" t="s">
        <v>69</v>
      </c>
      <c r="J29" s="9" t="s">
        <v>50</v>
      </c>
      <c r="K29" s="9" t="s">
        <v>50</v>
      </c>
      <c r="L29" s="17" t="s">
        <v>84</v>
      </c>
      <c r="M29" s="16" t="s">
        <v>73</v>
      </c>
      <c r="O29" t="s">
        <v>139</v>
      </c>
    </row>
    <row r="30" spans="1:30" x14ac:dyDescent="0.2">
      <c r="C30" t="s">
        <v>48</v>
      </c>
      <c r="G30" t="s">
        <v>68</v>
      </c>
      <c r="H30" s="6">
        <f>1/(5/H28)</f>
        <v>36</v>
      </c>
      <c r="I30" s="6" t="s">
        <v>152</v>
      </c>
      <c r="J30" s="9" t="s">
        <v>50</v>
      </c>
      <c r="K30" s="9" t="s">
        <v>50</v>
      </c>
      <c r="L30" s="18" t="s">
        <v>89</v>
      </c>
      <c r="M30" s="16" t="s">
        <v>85</v>
      </c>
      <c r="O30" t="s">
        <v>157</v>
      </c>
      <c r="AB30">
        <v>1</v>
      </c>
    </row>
    <row r="32" spans="1:30" x14ac:dyDescent="0.2">
      <c r="A32" t="s">
        <v>14</v>
      </c>
      <c r="C32" t="s">
        <v>15</v>
      </c>
      <c r="G32" s="5"/>
      <c r="H32" s="8">
        <v>2.6</v>
      </c>
      <c r="I32" s="8" t="s">
        <v>67</v>
      </c>
      <c r="J32" s="8" t="s">
        <v>60</v>
      </c>
      <c r="K32" s="8" t="s">
        <v>62</v>
      </c>
      <c r="L32" s="17" t="s">
        <v>91</v>
      </c>
      <c r="M32" s="16" t="s">
        <v>73</v>
      </c>
      <c r="O32" t="s">
        <v>139</v>
      </c>
      <c r="AB32">
        <v>1</v>
      </c>
    </row>
    <row r="33" spans="1:29" x14ac:dyDescent="0.2">
      <c r="C33" t="s">
        <v>16</v>
      </c>
      <c r="G33" s="5"/>
      <c r="H33" s="8">
        <v>50</v>
      </c>
      <c r="I33" s="8" t="s">
        <v>70</v>
      </c>
      <c r="J33" s="8" t="s">
        <v>61</v>
      </c>
      <c r="K33" s="8" t="s">
        <v>45</v>
      </c>
      <c r="L33" s="17" t="s">
        <v>92</v>
      </c>
      <c r="M33" s="16" t="s">
        <v>85</v>
      </c>
      <c r="O33" t="s">
        <v>139</v>
      </c>
      <c r="AB33">
        <v>1</v>
      </c>
    </row>
    <row r="34" spans="1:29" x14ac:dyDescent="0.2">
      <c r="C34" t="s">
        <v>17</v>
      </c>
      <c r="G34" s="5" t="s">
        <v>71</v>
      </c>
      <c r="H34" s="8">
        <v>300</v>
      </c>
      <c r="I34" s="8" t="s">
        <v>70</v>
      </c>
      <c r="J34" s="8" t="s">
        <v>61</v>
      </c>
      <c r="K34" s="8" t="s">
        <v>45</v>
      </c>
      <c r="L34" s="17" t="s">
        <v>93</v>
      </c>
      <c r="M34" s="16" t="s">
        <v>85</v>
      </c>
      <c r="O34" t="s">
        <v>139</v>
      </c>
      <c r="AB34">
        <v>1</v>
      </c>
    </row>
    <row r="35" spans="1:29" x14ac:dyDescent="0.2">
      <c r="C35" t="s">
        <v>18</v>
      </c>
      <c r="G35" s="5" t="s">
        <v>71</v>
      </c>
      <c r="H35" s="8">
        <v>2</v>
      </c>
      <c r="I35" s="8" t="s">
        <v>67</v>
      </c>
      <c r="J35" s="8" t="s">
        <v>61</v>
      </c>
      <c r="K35" s="8" t="s">
        <v>45</v>
      </c>
      <c r="L35" s="17" t="s">
        <v>94</v>
      </c>
      <c r="M35" s="16" t="s">
        <v>85</v>
      </c>
      <c r="O35" t="s">
        <v>139</v>
      </c>
      <c r="AB35" s="25">
        <v>1</v>
      </c>
    </row>
    <row r="36" spans="1:29" x14ac:dyDescent="0.2">
      <c r="C36" t="s">
        <v>95</v>
      </c>
      <c r="G36" s="5" t="s">
        <v>71</v>
      </c>
      <c r="H36" s="8">
        <v>2</v>
      </c>
      <c r="I36" s="8" t="s">
        <v>67</v>
      </c>
      <c r="J36" s="8" t="s">
        <v>61</v>
      </c>
      <c r="K36" s="8" t="s">
        <v>45</v>
      </c>
      <c r="L36" s="17" t="s">
        <v>94</v>
      </c>
      <c r="M36" s="16" t="s">
        <v>85</v>
      </c>
      <c r="O36" t="s">
        <v>139</v>
      </c>
      <c r="AB36" s="25">
        <v>1</v>
      </c>
    </row>
    <row r="37" spans="1:29" x14ac:dyDescent="0.2">
      <c r="C37" t="s">
        <v>19</v>
      </c>
      <c r="H37" s="6">
        <v>2.5</v>
      </c>
      <c r="I37" s="6" t="s">
        <v>67</v>
      </c>
      <c r="J37" s="6" t="s">
        <v>103</v>
      </c>
      <c r="K37" s="6" t="s">
        <v>104</v>
      </c>
      <c r="L37" s="17" t="s">
        <v>96</v>
      </c>
      <c r="M37" s="16" t="s">
        <v>73</v>
      </c>
      <c r="O37" s="19"/>
      <c r="AB37" s="25">
        <v>1</v>
      </c>
      <c r="AC37" s="25">
        <v>2</v>
      </c>
    </row>
    <row r="39" spans="1:29" x14ac:dyDescent="0.2">
      <c r="A39" t="s">
        <v>20</v>
      </c>
      <c r="C39" t="s">
        <v>21</v>
      </c>
      <c r="D39" t="s">
        <v>36</v>
      </c>
      <c r="E39" t="s">
        <v>122</v>
      </c>
      <c r="H39" s="6">
        <v>500</v>
      </c>
      <c r="I39" s="6" t="s">
        <v>72</v>
      </c>
      <c r="J39" s="9" t="s">
        <v>50</v>
      </c>
      <c r="K39" s="9" t="s">
        <v>50</v>
      </c>
      <c r="L39" s="19" t="s">
        <v>93</v>
      </c>
      <c r="M39" s="16" t="s">
        <v>85</v>
      </c>
      <c r="O39" t="s">
        <v>46</v>
      </c>
    </row>
    <row r="40" spans="1:29" x14ac:dyDescent="0.2">
      <c r="C40" s="1" t="s">
        <v>22</v>
      </c>
      <c r="D40" t="s">
        <v>36</v>
      </c>
      <c r="E40" t="s">
        <v>120</v>
      </c>
      <c r="H40" s="6">
        <v>500</v>
      </c>
      <c r="I40" s="6" t="s">
        <v>72</v>
      </c>
      <c r="J40" s="9" t="s">
        <v>50</v>
      </c>
      <c r="K40" s="9" t="s">
        <v>50</v>
      </c>
      <c r="L40" s="17" t="s">
        <v>138</v>
      </c>
      <c r="M40" s="16" t="s">
        <v>85</v>
      </c>
      <c r="O40" t="s">
        <v>105</v>
      </c>
    </row>
    <row r="41" spans="1:29" x14ac:dyDescent="0.2">
      <c r="C41" t="s">
        <v>21</v>
      </c>
      <c r="D41" t="s">
        <v>37</v>
      </c>
      <c r="E41" t="s">
        <v>123</v>
      </c>
      <c r="H41" s="6">
        <v>500</v>
      </c>
      <c r="I41" s="6" t="s">
        <v>72</v>
      </c>
      <c r="J41" s="9" t="s">
        <v>50</v>
      </c>
      <c r="K41" s="9" t="s">
        <v>50</v>
      </c>
      <c r="L41" s="19" t="s">
        <v>93</v>
      </c>
      <c r="M41" s="16" t="s">
        <v>85</v>
      </c>
      <c r="O41" t="s">
        <v>46</v>
      </c>
    </row>
    <row r="42" spans="1:29" x14ac:dyDescent="0.2">
      <c r="C42" s="1" t="s">
        <v>22</v>
      </c>
      <c r="D42" t="s">
        <v>37</v>
      </c>
      <c r="E42" t="s">
        <v>121</v>
      </c>
      <c r="H42" s="6">
        <v>500</v>
      </c>
      <c r="I42" s="6" t="s">
        <v>72</v>
      </c>
      <c r="J42" s="9" t="s">
        <v>50</v>
      </c>
      <c r="K42" s="9" t="s">
        <v>50</v>
      </c>
      <c r="L42" s="17" t="s">
        <v>138</v>
      </c>
      <c r="M42" s="16" t="s">
        <v>85</v>
      </c>
      <c r="O42" t="s">
        <v>105</v>
      </c>
    </row>
    <row r="44" spans="1:29" x14ac:dyDescent="0.2">
      <c r="A44" t="s">
        <v>23</v>
      </c>
      <c r="C44" t="s">
        <v>24</v>
      </c>
      <c r="H44" s="6">
        <v>5.5</v>
      </c>
      <c r="I44" s="6" t="s">
        <v>67</v>
      </c>
      <c r="J44" s="9" t="s">
        <v>50</v>
      </c>
      <c r="K44" s="9" t="s">
        <v>50</v>
      </c>
      <c r="L44" s="18" t="s">
        <v>97</v>
      </c>
      <c r="M44" s="16" t="s">
        <v>73</v>
      </c>
      <c r="O44" t="s">
        <v>150</v>
      </c>
      <c r="AB44">
        <v>1</v>
      </c>
    </row>
    <row r="45" spans="1:29" x14ac:dyDescent="0.2">
      <c r="C45" t="s">
        <v>25</v>
      </c>
      <c r="H45" s="6">
        <v>0.5</v>
      </c>
      <c r="I45" s="6" t="s">
        <v>67</v>
      </c>
      <c r="J45" s="9" t="s">
        <v>50</v>
      </c>
      <c r="K45" s="9" t="s">
        <v>50</v>
      </c>
      <c r="L45" s="18" t="s">
        <v>98</v>
      </c>
      <c r="M45" s="16" t="s">
        <v>73</v>
      </c>
      <c r="O45" t="s">
        <v>151</v>
      </c>
      <c r="AB45">
        <v>1</v>
      </c>
    </row>
    <row r="48" spans="1:29" s="4" customFormat="1" x14ac:dyDescent="0.2">
      <c r="A48" s="3" t="s">
        <v>10</v>
      </c>
      <c r="C48" s="4" t="s">
        <v>31</v>
      </c>
      <c r="H48" s="7"/>
      <c r="I48" s="7"/>
      <c r="J48" s="7"/>
      <c r="K48" s="7"/>
      <c r="L48" s="7"/>
    </row>
    <row r="49" spans="1:30" s="4" customFormat="1" x14ac:dyDescent="0.2">
      <c r="C49" s="4" t="s">
        <v>11</v>
      </c>
      <c r="H49" s="7"/>
      <c r="I49" s="7"/>
      <c r="J49" s="7"/>
      <c r="K49" s="7"/>
      <c r="L49" s="7"/>
    </row>
    <row r="50" spans="1:30" s="4" customFormat="1" x14ac:dyDescent="0.2">
      <c r="C50" s="4" t="s">
        <v>12</v>
      </c>
      <c r="H50" s="7"/>
      <c r="I50" s="7"/>
      <c r="J50" s="7"/>
      <c r="K50" s="7"/>
      <c r="L50" s="7"/>
    </row>
    <row r="51" spans="1:30" s="4" customFormat="1" x14ac:dyDescent="0.2">
      <c r="C51" s="4" t="s">
        <v>32</v>
      </c>
      <c r="H51" s="7"/>
      <c r="I51" s="7"/>
      <c r="J51" s="7"/>
      <c r="K51" s="7"/>
      <c r="L51" s="7"/>
    </row>
    <row r="53" spans="1:30" x14ac:dyDescent="0.2">
      <c r="A53" t="s">
        <v>26</v>
      </c>
      <c r="C53" t="s">
        <v>40</v>
      </c>
      <c r="E53" t="s">
        <v>124</v>
      </c>
      <c r="G53" s="32" t="s">
        <v>50</v>
      </c>
      <c r="H53" s="32"/>
      <c r="I53" s="32"/>
      <c r="J53" s="6" t="s">
        <v>65</v>
      </c>
      <c r="K53" s="6" t="s">
        <v>66</v>
      </c>
      <c r="L53" s="17" t="s">
        <v>114</v>
      </c>
      <c r="M53" s="16" t="s">
        <v>85</v>
      </c>
      <c r="O53" t="s">
        <v>141</v>
      </c>
      <c r="AB53">
        <v>1</v>
      </c>
      <c r="AC53">
        <v>0</v>
      </c>
      <c r="AD53" t="s">
        <v>166</v>
      </c>
    </row>
    <row r="54" spans="1:30" x14ac:dyDescent="0.2">
      <c r="C54" t="s">
        <v>38</v>
      </c>
      <c r="G54" s="32" t="s">
        <v>50</v>
      </c>
      <c r="H54" s="32"/>
      <c r="I54" s="32"/>
      <c r="J54" s="6" t="s">
        <v>64</v>
      </c>
      <c r="K54" s="6" t="s">
        <v>66</v>
      </c>
      <c r="L54" s="17" t="s">
        <v>99</v>
      </c>
      <c r="M54" s="16" t="s">
        <v>85</v>
      </c>
      <c r="O54" t="s">
        <v>140</v>
      </c>
      <c r="AB54">
        <v>1</v>
      </c>
      <c r="AC54">
        <v>0</v>
      </c>
      <c r="AD54" t="s">
        <v>167</v>
      </c>
    </row>
    <row r="55" spans="1:30" x14ac:dyDescent="0.2">
      <c r="C55" s="1" t="s">
        <v>39</v>
      </c>
      <c r="E55" t="s">
        <v>125</v>
      </c>
      <c r="G55" s="32" t="s">
        <v>50</v>
      </c>
      <c r="H55" s="32"/>
      <c r="I55" s="32"/>
      <c r="J55" s="6" t="s">
        <v>100</v>
      </c>
      <c r="K55" s="6" t="s">
        <v>101</v>
      </c>
      <c r="L55" s="17" t="s">
        <v>109</v>
      </c>
      <c r="M55" s="16" t="s">
        <v>85</v>
      </c>
      <c r="O55" t="s">
        <v>142</v>
      </c>
      <c r="AC55">
        <v>0</v>
      </c>
      <c r="AD55" t="s">
        <v>167</v>
      </c>
    </row>
    <row r="56" spans="1:30" x14ac:dyDescent="0.2">
      <c r="C56" t="s">
        <v>110</v>
      </c>
      <c r="G56" s="32" t="s">
        <v>50</v>
      </c>
      <c r="H56" s="32"/>
      <c r="I56" s="32"/>
      <c r="J56" s="11" t="s">
        <v>115</v>
      </c>
      <c r="K56" s="11" t="s">
        <v>111</v>
      </c>
      <c r="L56" s="17" t="s">
        <v>112</v>
      </c>
      <c r="M56" s="16" t="s">
        <v>85</v>
      </c>
      <c r="O56" t="s">
        <v>143</v>
      </c>
      <c r="AB56" s="24">
        <v>1</v>
      </c>
      <c r="AC56">
        <v>1</v>
      </c>
      <c r="AD56" t="s">
        <v>168</v>
      </c>
    </row>
    <row r="57" spans="1:30" x14ac:dyDescent="0.2">
      <c r="C57" t="s">
        <v>41</v>
      </c>
      <c r="G57" s="33" t="s">
        <v>50</v>
      </c>
      <c r="H57" s="33"/>
      <c r="I57" s="33"/>
      <c r="J57" s="9" t="s">
        <v>50</v>
      </c>
      <c r="K57" s="9" t="s">
        <v>50</v>
      </c>
      <c r="L57" s="17" t="s">
        <v>113</v>
      </c>
      <c r="M57" s="16" t="s">
        <v>85</v>
      </c>
      <c r="O57" s="19" t="s">
        <v>144</v>
      </c>
      <c r="AB57">
        <v>1</v>
      </c>
    </row>
    <row r="58" spans="1:30" x14ac:dyDescent="0.2">
      <c r="M58" s="16"/>
    </row>
    <row r="59" spans="1:30" x14ac:dyDescent="0.2">
      <c r="C59" s="1" t="s">
        <v>27</v>
      </c>
      <c r="D59" t="s">
        <v>36</v>
      </c>
      <c r="E59" t="s">
        <v>126</v>
      </c>
      <c r="H59" s="6">
        <v>500</v>
      </c>
      <c r="I59" s="6" t="s">
        <v>72</v>
      </c>
      <c r="J59" s="9" t="s">
        <v>50</v>
      </c>
      <c r="K59" s="9" t="s">
        <v>50</v>
      </c>
      <c r="L59" s="17" t="s">
        <v>134</v>
      </c>
      <c r="M59" s="16" t="s">
        <v>85</v>
      </c>
      <c r="O59" t="s">
        <v>105</v>
      </c>
    </row>
    <row r="60" spans="1:30" x14ac:dyDescent="0.2">
      <c r="C60" s="1" t="s">
        <v>28</v>
      </c>
      <c r="D60" t="s">
        <v>36</v>
      </c>
      <c r="E60" t="s">
        <v>128</v>
      </c>
      <c r="H60" s="6">
        <v>2.5</v>
      </c>
      <c r="I60" s="6" t="s">
        <v>133</v>
      </c>
      <c r="J60" s="9" t="s">
        <v>50</v>
      </c>
      <c r="K60" s="9" t="s">
        <v>50</v>
      </c>
      <c r="L60" s="17" t="s">
        <v>136</v>
      </c>
      <c r="M60" s="16" t="s">
        <v>85</v>
      </c>
      <c r="O60" t="s">
        <v>145</v>
      </c>
    </row>
    <row r="61" spans="1:30" x14ac:dyDescent="0.2">
      <c r="C61" s="1" t="s">
        <v>27</v>
      </c>
      <c r="D61" t="s">
        <v>37</v>
      </c>
      <c r="E61" t="s">
        <v>127</v>
      </c>
      <c r="H61" s="6">
        <v>500</v>
      </c>
      <c r="I61" s="6" t="s">
        <v>72</v>
      </c>
      <c r="J61" s="9" t="s">
        <v>50</v>
      </c>
      <c r="K61" s="9" t="s">
        <v>50</v>
      </c>
      <c r="L61" s="17" t="s">
        <v>135</v>
      </c>
      <c r="M61" s="16" t="s">
        <v>85</v>
      </c>
      <c r="O61" t="s">
        <v>105</v>
      </c>
    </row>
    <row r="62" spans="1:30" x14ac:dyDescent="0.2">
      <c r="C62" s="1" t="s">
        <v>28</v>
      </c>
      <c r="D62" t="s">
        <v>37</v>
      </c>
      <c r="E62" t="s">
        <v>129</v>
      </c>
      <c r="H62" s="6">
        <v>2.5</v>
      </c>
      <c r="I62" s="6" t="s">
        <v>133</v>
      </c>
      <c r="J62" s="9" t="s">
        <v>50</v>
      </c>
      <c r="K62" s="9" t="s">
        <v>50</v>
      </c>
      <c r="L62" s="17" t="s">
        <v>137</v>
      </c>
      <c r="M62" s="16" t="s">
        <v>85</v>
      </c>
      <c r="O62" t="s">
        <v>145</v>
      </c>
    </row>
    <row r="64" spans="1:30" x14ac:dyDescent="0.2">
      <c r="C64" s="10" t="s">
        <v>130</v>
      </c>
      <c r="G64" s="30" t="s">
        <v>132</v>
      </c>
      <c r="H64" s="30"/>
      <c r="I64" s="30"/>
      <c r="J64" s="11" t="s">
        <v>50</v>
      </c>
      <c r="K64" s="11" t="s">
        <v>50</v>
      </c>
      <c r="L64" s="17" t="s">
        <v>113</v>
      </c>
      <c r="M64" s="16" t="s">
        <v>85</v>
      </c>
      <c r="O64" t="s">
        <v>131</v>
      </c>
    </row>
    <row r="66" spans="28:30" x14ac:dyDescent="0.2">
      <c r="AB66">
        <f>SUM(AB17:AB65)</f>
        <v>15</v>
      </c>
      <c r="AC66">
        <f>SUM(AC17:AC65)</f>
        <v>18</v>
      </c>
      <c r="AD66">
        <f>AB66+AC66</f>
        <v>33</v>
      </c>
    </row>
    <row r="67" spans="28:30" x14ac:dyDescent="0.2">
      <c r="AB67">
        <v>15</v>
      </c>
      <c r="AC67">
        <v>26</v>
      </c>
      <c r="AD67">
        <f>AB67+AC67</f>
        <v>41</v>
      </c>
    </row>
    <row r="69" spans="28:30" x14ac:dyDescent="0.2">
      <c r="AD69" s="26">
        <f>MIN(AD66/36*5+1,6)</f>
        <v>5.583333333333333</v>
      </c>
    </row>
  </sheetData>
  <mergeCells count="10">
    <mergeCell ref="H6:M6"/>
    <mergeCell ref="H7:M7"/>
    <mergeCell ref="H8:M8"/>
    <mergeCell ref="G64:I64"/>
    <mergeCell ref="G15:I15"/>
    <mergeCell ref="G53:I53"/>
    <mergeCell ref="G54:I54"/>
    <mergeCell ref="G57:I57"/>
    <mergeCell ref="G55:I55"/>
    <mergeCell ref="G56:I5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2DFA7FDB97D204FA87B8F6649CBC9BE" ma:contentTypeVersion="3" ma:contentTypeDescription="Ein neues Dokument erstellen." ma:contentTypeScope="" ma:versionID="bc0b623e7ed7c10bb05a7fc83409325d">
  <xsd:schema xmlns:xsd="http://www.w3.org/2001/XMLSchema" xmlns:xs="http://www.w3.org/2001/XMLSchema" xmlns:p="http://schemas.microsoft.com/office/2006/metadata/properties" xmlns:ns2="a9d23649-465b-4421-b59c-d2cd9ca95418" targetNamespace="http://schemas.microsoft.com/office/2006/metadata/properties" ma:root="true" ma:fieldsID="cb2b3465d4e4f1b9fff1a0835f737ff3" ns2:_="">
    <xsd:import namespace="a9d23649-465b-4421-b59c-d2cd9ca95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23649-465b-4421-b59c-d2cd9ca954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A0EDC3-0AC8-45C3-9B93-11F5C81BBD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3E6F58-C045-4B47-82D8-E145C1F1B6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F41A8B-4303-461F-9F94-118D373D4A7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2025-10-23T10:56:23Z</dcterms:created>
  <dcterms:modified xsi:type="dcterms:W3CDTF">2025-12-04T20:08:47Z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2025-10-23T11:09:45Z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91726deb-3249-403e-b455-19f2b1867ef9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  <property fmtid="{D5CDD505-2E9C-101B-9397-08002B2CF9AE}" pid="10" name="ContentTypeId">
    <vt:lpwstr>0x01010042DFA7FDB97D204FA87B8F6649CBC9BE</vt:lpwstr>
  </property>
</Properties>
</file>