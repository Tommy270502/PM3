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backupFile="1" defaultThemeVersion="124226"/>
  <mc:AlternateContent xmlns:mc="http://schemas.openxmlformats.org/markup-compatibility/2006">
    <mc:Choice Requires="x15">
      <x15ac:absPath xmlns:x15ac="http://schemas.microsoft.com/office/spreadsheetml/2010/11/ac" url="/Volumes/pools/t/T-ISC-ET-PM3/2_Assessments/"/>
    </mc:Choice>
  </mc:AlternateContent>
  <xr:revisionPtr revIDLastSave="0" documentId="13_ncr:1_{CDAAFDE7-8AAE-FB40-8B5F-1B3F15F756B9}" xr6:coauthVersionLast="47" xr6:coauthVersionMax="47" xr10:uidLastSave="{00000000-0000-0000-0000-000000000000}"/>
  <bookViews>
    <workbookView xWindow="300" yWindow="880" windowWidth="28800" windowHeight="16360" xr2:uid="{00000000-000D-0000-FFFF-FFFF00000000}"/>
  </bookViews>
  <sheets>
    <sheet name="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1" l="1"/>
  <c r="D10" i="1"/>
  <c r="D9" i="1"/>
  <c r="D8" i="1"/>
  <c r="E13" i="1"/>
  <c r="E24" i="1"/>
  <c r="E33" i="1"/>
  <c r="E46" i="1"/>
  <c r="E39" i="1"/>
  <c r="D50" i="1"/>
  <c r="E50" i="1" l="1"/>
</calcChain>
</file>

<file path=xl/sharedStrings.xml><?xml version="1.0" encoding="utf-8"?>
<sst xmlns="http://schemas.openxmlformats.org/spreadsheetml/2006/main" count="42" uniqueCount="38">
  <si>
    <t>Students</t>
  </si>
  <si>
    <t>Abstract</t>
  </si>
  <si>
    <t>Specifications, requirements</t>
  </si>
  <si>
    <t>HW development</t>
  </si>
  <si>
    <t>Implementation</t>
  </si>
  <si>
    <t>Tests</t>
  </si>
  <si>
    <t>Conclusions</t>
  </si>
  <si>
    <t>Checklist</t>
  </si>
  <si>
    <t>ET.PM3</t>
  </si>
  <si>
    <t>Demo Prototype</t>
  </si>
  <si>
    <t>Technical aspects</t>
  </si>
  <si>
    <t>Presentation prototype</t>
  </si>
  <si>
    <t>Overall mark</t>
  </si>
  <si>
    <t>Marks</t>
  </si>
  <si>
    <t>Well prepared</t>
  </si>
  <si>
    <t>Weight</t>
  </si>
  <si>
    <t>Presentation skills</t>
  </si>
  <si>
    <t>Data and result representation</t>
  </si>
  <si>
    <t>Shown functionality, fulfillment of requirements</t>
  </si>
  <si>
    <t>Technical correctness</t>
  </si>
  <si>
    <t>Technical content, selection of presented topics</t>
  </si>
  <si>
    <t>Demo procedure, technically correct and well prepared</t>
  </si>
  <si>
    <t>Q&amp;A, competence in answering the tech. questions</t>
  </si>
  <si>
    <t>HW Report</t>
  </si>
  <si>
    <t>HW test report</t>
  </si>
  <si>
    <t>Structure &amp; Timing</t>
  </si>
  <si>
    <t>Slide Style</t>
  </si>
  <si>
    <t>Delivery (Body Language, Voice, Pronunciation)</t>
  </si>
  <si>
    <t>Language (Vocabulary, Grammar)</t>
  </si>
  <si>
    <t>Language aspects (structure&amp;cohesion, format&amp;style, 
vocabulary&amp;grammar, register&amp;syntax)</t>
  </si>
  <si>
    <t>Timeline</t>
  </si>
  <si>
    <t>The following points are provided solely as a checklist and overview for your reference. As this is the first run of the module, additional items may be added. Details of the assessments are provided separately. Furthermore, there may be deductions not shown in the table, for example in the case of late submission. The table is not exhaustive and does not represent a binding grading scheme. In summary, it serves only as an indicator of the aspects that the lecturers will consider in the assessments. The weighting of the individual assessments is, however, fixed.</t>
  </si>
  <si>
    <t>Block Diagram</t>
  </si>
  <si>
    <t>Demo basic HW</t>
  </si>
  <si>
    <t>Demo basic FW</t>
  </si>
  <si>
    <t>User interface / Display</t>
  </si>
  <si>
    <t>Basic FW functionalities:
•	Audio  In -&gt; Codec -&gt; Microcontroller -&gt; Codec -&gt; Out
•	Controlling the lamps via DMX using a custom algorithm
•	Displaying the time signal on the screen.
•	Displaying the FFT-Output on the screen.
•	Microphone In (mono) -&gt; Codec -&gt; Out (L&amp;R)</t>
  </si>
  <si>
    <t>HW test: mandatory demonstration (see Template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</si>
</sst>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rgb="FF000000"/>
      <name val="Calibri"/>
      <family val="2"/>
      <charset val="1"/>
    </font>
    <font>
      <b/>
      <sz val="11"/>
      <color rgb="FF000000"/>
      <name val="Calibri"/>
      <family val="2"/>
    </font>
    <font>
      <sz val="11"/>
      <color rgb="FF000000"/>
      <name val="Calibri"/>
      <family val="2"/>
      <charset val="1"/>
    </font>
    <font>
      <sz val="11"/>
      <color theme="1" tint="0.499984740745262"/>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4" fontId="0" fillId="0" borderId="0" xfId="0" applyNumberFormat="1"/>
    <xf numFmtId="164" fontId="0" fillId="0" borderId="0" xfId="0" applyNumberFormat="1"/>
    <xf numFmtId="0" fontId="1" fillId="0" borderId="0" xfId="0" applyFont="1"/>
    <xf numFmtId="164" fontId="1" fillId="0" borderId="0" xfId="0" applyNumberFormat="1" applyFont="1"/>
    <xf numFmtId="9" fontId="0" fillId="0" borderId="0" xfId="1" applyFont="1"/>
    <xf numFmtId="9" fontId="1" fillId="0" borderId="0" xfId="1" applyFont="1"/>
    <xf numFmtId="0" fontId="0" fillId="0" borderId="0" xfId="0" applyAlignment="1">
      <alignment wrapText="1"/>
    </xf>
    <xf numFmtId="9" fontId="0" fillId="0" borderId="0" xfId="1" applyFont="1" applyFill="1"/>
    <xf numFmtId="164" fontId="0" fillId="0" borderId="0" xfId="0" applyNumberFormat="1" applyAlignment="1">
      <alignment vertical="center"/>
    </xf>
    <xf numFmtId="49" fontId="0" fillId="0" borderId="0" xfId="0" applyNumberFormat="1" applyAlignment="1">
      <alignment wrapText="1"/>
    </xf>
    <xf numFmtId="9" fontId="3" fillId="0" borderId="0" xfId="1" applyFo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50"/>
  <sheetViews>
    <sheetView tabSelected="1" topLeftCell="A5" zoomScale="139" zoomScaleNormal="190" workbookViewId="0">
      <selection activeCell="D7" sqref="D7"/>
    </sheetView>
  </sheetViews>
  <sheetFormatPr baseColWidth="10" defaultColWidth="8.83203125" defaultRowHeight="15" x14ac:dyDescent="0.2"/>
  <cols>
    <col min="1" max="1" width="24.6640625" customWidth="1"/>
    <col min="2" max="2" width="45.6640625" customWidth="1"/>
    <col min="3" max="3" width="6" style="2" bestFit="1" customWidth="1"/>
    <col min="4" max="4" width="6.6640625" style="5" bestFit="1" customWidth="1"/>
    <col min="5" max="5" width="6" style="2" bestFit="1" customWidth="1"/>
  </cols>
  <sheetData>
    <row r="1" spans="1:5" x14ac:dyDescent="0.2">
      <c r="A1" t="s">
        <v>8</v>
      </c>
      <c r="B1" t="s">
        <v>7</v>
      </c>
      <c r="C1" s="2" t="s">
        <v>13</v>
      </c>
      <c r="D1" s="5" t="s">
        <v>15</v>
      </c>
      <c r="E1" s="2" t="s">
        <v>13</v>
      </c>
    </row>
    <row r="3" spans="1:5" x14ac:dyDescent="0.2">
      <c r="A3" t="s">
        <v>0</v>
      </c>
    </row>
    <row r="5" spans="1:5" ht="113" customHeight="1" x14ac:dyDescent="0.2">
      <c r="A5" s="10" t="s">
        <v>31</v>
      </c>
      <c r="B5" s="10"/>
    </row>
    <row r="7" spans="1:5" x14ac:dyDescent="0.2">
      <c r="A7" t="s">
        <v>33</v>
      </c>
      <c r="B7" s="1"/>
      <c r="D7" s="5">
        <v>0.2</v>
      </c>
      <c r="E7" s="2">
        <f>AVERAGE(C8,C8,C9,C10)</f>
        <v>4</v>
      </c>
    </row>
    <row r="8" spans="1:5" x14ac:dyDescent="0.2">
      <c r="B8" s="1" t="s">
        <v>37</v>
      </c>
      <c r="C8" s="2">
        <v>4</v>
      </c>
      <c r="D8" s="11">
        <f>0.5*D7</f>
        <v>0.1</v>
      </c>
    </row>
    <row r="9" spans="1:5" x14ac:dyDescent="0.2">
      <c r="B9" s="1" t="s">
        <v>24</v>
      </c>
      <c r="C9" s="2">
        <v>4</v>
      </c>
      <c r="D9" s="11">
        <f>0.25*D7</f>
        <v>0.05</v>
      </c>
    </row>
    <row r="10" spans="1:5" x14ac:dyDescent="0.2">
      <c r="B10" t="s">
        <v>14</v>
      </c>
      <c r="C10" s="2">
        <v>4</v>
      </c>
      <c r="D10" s="11">
        <f>0.25*D7</f>
        <v>0.05</v>
      </c>
    </row>
    <row r="13" spans="1:5" x14ac:dyDescent="0.2">
      <c r="A13" t="s">
        <v>23</v>
      </c>
      <c r="D13" s="5">
        <v>0.15</v>
      </c>
      <c r="E13" s="2">
        <f>AVERAGE(C14:C20)</f>
        <v>4</v>
      </c>
    </row>
    <row r="14" spans="1:5" x14ac:dyDescent="0.2">
      <c r="B14" t="s">
        <v>1</v>
      </c>
      <c r="C14" s="2">
        <v>4</v>
      </c>
    </row>
    <row r="15" spans="1:5" x14ac:dyDescent="0.2">
      <c r="B15" t="s">
        <v>2</v>
      </c>
      <c r="C15" s="2">
        <v>4</v>
      </c>
    </row>
    <row r="16" spans="1:5" x14ac:dyDescent="0.2">
      <c r="B16" t="s">
        <v>3</v>
      </c>
      <c r="C16" s="2">
        <v>4</v>
      </c>
    </row>
    <row r="17" spans="1:5" x14ac:dyDescent="0.2">
      <c r="B17" t="s">
        <v>4</v>
      </c>
      <c r="C17" s="2">
        <v>4</v>
      </c>
    </row>
    <row r="18" spans="1:5" x14ac:dyDescent="0.2">
      <c r="B18" t="s">
        <v>5</v>
      </c>
      <c r="C18" s="2">
        <v>4</v>
      </c>
    </row>
    <row r="19" spans="1:5" x14ac:dyDescent="0.2">
      <c r="B19" t="s">
        <v>30</v>
      </c>
      <c r="C19" s="2">
        <v>4</v>
      </c>
    </row>
    <row r="20" spans="1:5" x14ac:dyDescent="0.2">
      <c r="B20" t="s">
        <v>6</v>
      </c>
      <c r="C20" s="2">
        <v>4</v>
      </c>
    </row>
    <row r="22" spans="1:5" ht="32" x14ac:dyDescent="0.2">
      <c r="A22" t="s">
        <v>23</v>
      </c>
      <c r="B22" s="7" t="s">
        <v>29</v>
      </c>
      <c r="D22" s="5">
        <v>0.05</v>
      </c>
      <c r="E22" s="2">
        <v>4</v>
      </c>
    </row>
    <row r="24" spans="1:5" x14ac:dyDescent="0.2">
      <c r="A24" t="s">
        <v>34</v>
      </c>
      <c r="D24" s="8">
        <v>0.2</v>
      </c>
      <c r="E24" s="2">
        <f>AVERAGE(C25:C29)</f>
        <v>4</v>
      </c>
    </row>
    <row r="25" spans="1:5" x14ac:dyDescent="0.2">
      <c r="B25" t="s">
        <v>35</v>
      </c>
      <c r="C25" s="2">
        <v>4</v>
      </c>
      <c r="D25" s="8"/>
    </row>
    <row r="26" spans="1:5" ht="96" x14ac:dyDescent="0.2">
      <c r="B26" s="7" t="s">
        <v>36</v>
      </c>
      <c r="C26" s="9">
        <v>4</v>
      </c>
      <c r="D26" s="8"/>
    </row>
    <row r="27" spans="1:5" x14ac:dyDescent="0.2">
      <c r="B27" t="s">
        <v>17</v>
      </c>
      <c r="C27" s="2">
        <v>4</v>
      </c>
      <c r="D27" s="8"/>
    </row>
    <row r="28" spans="1:5" x14ac:dyDescent="0.2">
      <c r="B28" t="s">
        <v>32</v>
      </c>
      <c r="C28" s="2">
        <v>4</v>
      </c>
      <c r="D28" s="8"/>
    </row>
    <row r="29" spans="1:5" x14ac:dyDescent="0.2">
      <c r="B29" t="s">
        <v>14</v>
      </c>
      <c r="C29" s="2">
        <v>4</v>
      </c>
      <c r="D29" s="8"/>
    </row>
    <row r="32" spans="1:5" x14ac:dyDescent="0.2">
      <c r="A32" t="s">
        <v>11</v>
      </c>
    </row>
    <row r="33" spans="1:5" x14ac:dyDescent="0.2">
      <c r="B33" t="s">
        <v>10</v>
      </c>
      <c r="D33" s="5">
        <v>0.1</v>
      </c>
      <c r="E33" s="2">
        <f>AVERAGE(C34:C36)</f>
        <v>4</v>
      </c>
    </row>
    <row r="34" spans="1:5" x14ac:dyDescent="0.2">
      <c r="B34" t="s">
        <v>19</v>
      </c>
      <c r="C34" s="2">
        <v>4</v>
      </c>
    </row>
    <row r="35" spans="1:5" x14ac:dyDescent="0.2">
      <c r="B35" t="s">
        <v>20</v>
      </c>
      <c r="C35" s="2">
        <v>4</v>
      </c>
    </row>
    <row r="36" spans="1:5" x14ac:dyDescent="0.2">
      <c r="B36" t="s">
        <v>22</v>
      </c>
      <c r="C36" s="2">
        <v>4</v>
      </c>
    </row>
    <row r="39" spans="1:5" x14ac:dyDescent="0.2">
      <c r="B39" t="s">
        <v>16</v>
      </c>
      <c r="D39" s="8">
        <v>0.2</v>
      </c>
      <c r="E39" s="2">
        <f>AVERAGE(C40:C43)</f>
        <v>4</v>
      </c>
    </row>
    <row r="40" spans="1:5" x14ac:dyDescent="0.2">
      <c r="B40" t="s">
        <v>25</v>
      </c>
      <c r="C40" s="2">
        <v>4</v>
      </c>
      <c r="D40" s="8"/>
    </row>
    <row r="41" spans="1:5" x14ac:dyDescent="0.2">
      <c r="B41" t="s">
        <v>26</v>
      </c>
      <c r="C41" s="2">
        <v>4</v>
      </c>
      <c r="D41" s="8"/>
    </row>
    <row r="42" spans="1:5" x14ac:dyDescent="0.2">
      <c r="B42" t="s">
        <v>27</v>
      </c>
      <c r="C42" s="2">
        <v>4</v>
      </c>
      <c r="D42" s="8"/>
    </row>
    <row r="43" spans="1:5" x14ac:dyDescent="0.2">
      <c r="B43" t="s">
        <v>28</v>
      </c>
      <c r="C43" s="2">
        <v>4</v>
      </c>
      <c r="D43" s="8"/>
    </row>
    <row r="45" spans="1:5" x14ac:dyDescent="0.2">
      <c r="A45" t="s">
        <v>9</v>
      </c>
    </row>
    <row r="46" spans="1:5" x14ac:dyDescent="0.2">
      <c r="B46" t="s">
        <v>10</v>
      </c>
      <c r="D46" s="5">
        <v>0.1</v>
      </c>
      <c r="E46" s="2">
        <f>AVERAGE(C47:C48)</f>
        <v>4</v>
      </c>
    </row>
    <row r="47" spans="1:5" x14ac:dyDescent="0.2">
      <c r="B47" t="s">
        <v>18</v>
      </c>
      <c r="C47" s="2">
        <v>4</v>
      </c>
    </row>
    <row r="48" spans="1:5" ht="16" x14ac:dyDescent="0.2">
      <c r="B48" s="7" t="s">
        <v>21</v>
      </c>
      <c r="C48" s="2">
        <v>4</v>
      </c>
    </row>
    <row r="50" spans="1:5" s="3" customFormat="1" x14ac:dyDescent="0.2">
      <c r="A50" s="3" t="s">
        <v>12</v>
      </c>
      <c r="C50" s="4"/>
      <c r="D50" s="6">
        <f>SUM(D4:D47)</f>
        <v>1.2000000000000002</v>
      </c>
      <c r="E50" s="4" t="e">
        <f>D7*E7+D13*E13+D22*E22+D24*E24+#REF!*#REF!+D33*E33+D39*E39+D46*E46</f>
        <v>#REF!</v>
      </c>
    </row>
  </sheetData>
  <mergeCells count="1">
    <mergeCell ref="A5:B5"/>
  </mergeCells>
  <pageMargins left="0.7" right="0.7" top="0.75" bottom="0.75" header="0.51180555555555496" footer="0.51180555555555496"/>
  <pageSetup paperSize="9" scale="95" firstPageNumber="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Hochreutener Hanspeter (hhrt)</dc:creator>
  <cp:lastModifiedBy>Rosset Josquin (rost)</cp:lastModifiedBy>
  <cp:revision>0</cp:revision>
  <cp:lastPrinted>2020-03-09T07:50:14Z</cp:lastPrinted>
  <dcterms:created xsi:type="dcterms:W3CDTF">2006-09-16T00:00:00Z</dcterms:created>
  <dcterms:modified xsi:type="dcterms:W3CDTF">2025-10-23T16:45:25Z</dcterms:modified>
  <dc:language>de-CH</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9bb7c8b-3fd4-4dea-b697-0f2931e84efa_Enabled">
    <vt:lpwstr>true</vt:lpwstr>
  </property>
  <property fmtid="{D5CDD505-2E9C-101B-9397-08002B2CF9AE}" pid="3" name="MSIP_Label_29bb7c8b-3fd4-4dea-b697-0f2931e84efa_SetDate">
    <vt:lpwstr>2021-08-25T12:49:31Z</vt:lpwstr>
  </property>
  <property fmtid="{D5CDD505-2E9C-101B-9397-08002B2CF9AE}" pid="4" name="MSIP_Label_29bb7c8b-3fd4-4dea-b697-0f2931e84efa_Method">
    <vt:lpwstr>Privileged</vt:lpwstr>
  </property>
  <property fmtid="{D5CDD505-2E9C-101B-9397-08002B2CF9AE}" pid="5" name="MSIP_Label_29bb7c8b-3fd4-4dea-b697-0f2931e84efa_Name">
    <vt:lpwstr>29bb7c8b-3fd4-4dea-b697-0f2931e84efa</vt:lpwstr>
  </property>
  <property fmtid="{D5CDD505-2E9C-101B-9397-08002B2CF9AE}" pid="6" name="MSIP_Label_29bb7c8b-3fd4-4dea-b697-0f2931e84efa_SiteId">
    <vt:lpwstr>5d1a9f9d-201f-4a10-b983-451cf65cbc1e</vt:lpwstr>
  </property>
  <property fmtid="{D5CDD505-2E9C-101B-9397-08002B2CF9AE}" pid="7" name="MSIP_Label_29bb7c8b-3fd4-4dea-b697-0f2931e84efa_ActionId">
    <vt:lpwstr>36b71f91-0526-4f30-8dd2-afd88a4ac50d</vt:lpwstr>
  </property>
  <property fmtid="{D5CDD505-2E9C-101B-9397-08002B2CF9AE}" pid="8" name="MSIP_Label_29bb7c8b-3fd4-4dea-b697-0f2931e84efa_ContentBits">
    <vt:lpwstr>0</vt:lpwstr>
  </property>
</Properties>
</file>